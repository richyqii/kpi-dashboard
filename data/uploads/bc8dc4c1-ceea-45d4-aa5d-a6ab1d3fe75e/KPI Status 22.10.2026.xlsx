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11\Desktop\"/>
    </mc:Choice>
  </mc:AlternateContent>
  <bookViews>
    <workbookView xWindow="0" yWindow="0" windowWidth="23955" windowHeight="9660" activeTab="2"/>
  </bookViews>
  <sheets>
    <sheet name="Sheet1" sheetId="5" r:id="rId1"/>
    <sheet name="1. ACC (SUMMARY)" sheetId="6" r:id="rId2"/>
    <sheet name="2. PAYROLL (SUMMARY)" sheetId="7" r:id="rId3"/>
    <sheet name="3. E-INV (SUMMARY)" sheetId="8" r:id="rId4"/>
    <sheet name="4. SST (SUMMARY)" sheetId="9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" i="7" l="1"/>
  <c r="A12" i="7" s="1"/>
  <c r="D20" i="7" l="1"/>
  <c r="A13" i="7"/>
  <c r="A14" i="7" s="1"/>
  <c r="A15" i="7" s="1"/>
  <c r="D20" i="9" l="1"/>
  <c r="D19" i="9"/>
  <c r="D18" i="9"/>
  <c r="D17" i="9"/>
  <c r="D21" i="9" s="1"/>
  <c r="E24" i="8"/>
  <c r="E23" i="8"/>
  <c r="E22" i="8"/>
  <c r="E21" i="8"/>
  <c r="A7" i="8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D23" i="7"/>
  <c r="D22" i="7"/>
  <c r="D21" i="7"/>
  <c r="A7" i="7"/>
  <c r="A8" i="7" s="1"/>
  <c r="A9" i="7" s="1"/>
  <c r="A10" i="7" s="1"/>
  <c r="A16" i="7" s="1"/>
  <c r="A17" i="7" s="1"/>
  <c r="E27" i="6"/>
  <c r="E26" i="6"/>
  <c r="E25" i="6"/>
  <c r="E24" i="6"/>
  <c r="E28" i="6" s="1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D24" i="7" l="1"/>
  <c r="E25" i="8"/>
</calcChain>
</file>

<file path=xl/sharedStrings.xml><?xml version="1.0" encoding="utf-8"?>
<sst xmlns="http://schemas.openxmlformats.org/spreadsheetml/2006/main" count="528" uniqueCount="51">
  <si>
    <t>ACCOUNTING REVIEW 2026 (SUMMARY)</t>
  </si>
  <si>
    <t>NO.</t>
  </si>
  <si>
    <t xml:space="preserve">COMPANY NAME </t>
  </si>
  <si>
    <t>MONTHLY STATUS</t>
  </si>
  <si>
    <t>BASIS</t>
  </si>
  <si>
    <t>ADEC GLOBAL (MALAYSIA) SDN BHD</t>
  </si>
  <si>
    <t>QUARTERLY</t>
  </si>
  <si>
    <t>LY</t>
  </si>
  <si>
    <t>BAGUSS ENTERPRISE SDN BHD</t>
  </si>
  <si>
    <t>MONTHLY</t>
  </si>
  <si>
    <t>CANPLUS INDUSTRIES SDN BHD</t>
  </si>
  <si>
    <t>-----</t>
  </si>
  <si>
    <t>YS</t>
  </si>
  <si>
    <t>COSAM ENTERPRISE</t>
  </si>
  <si>
    <t>GMAX ENGINEERING SDN BHD</t>
  </si>
  <si>
    <t>IZA</t>
  </si>
  <si>
    <t>GMAX HARTAMAS SDN BHD</t>
  </si>
  <si>
    <t>GMAX TECHNOLOGIES SDN BHD</t>
  </si>
  <si>
    <t>LASER ENGRAVE INDUSTRIES SDN BHD</t>
  </si>
  <si>
    <t>LUCKY TROPICAL FISH FARM</t>
  </si>
  <si>
    <t>1/2 YEARLY</t>
  </si>
  <si>
    <t>MAKMUR STEEL ENGINEERING SDN BHD</t>
  </si>
  <si>
    <t xml:space="preserve">MICRO PRECISION SDN BHD  </t>
  </si>
  <si>
    <t>ORIENTSYS TECHNOLOGY SDN BHD</t>
  </si>
  <si>
    <t>YEOH</t>
  </si>
  <si>
    <t>TIMOTHY ENGINEERING</t>
  </si>
  <si>
    <t>TREASURE HUNTER HOTEL PLT</t>
  </si>
  <si>
    <t>VALUED SYSTEM ADVISOR SDN BHD</t>
  </si>
  <si>
    <t>ZHANG HUNG ENGINEERING SDN BHD</t>
  </si>
  <si>
    <t>Reviewed By :</t>
  </si>
  <si>
    <t xml:space="preserve">CHAY SEONG CHENG </t>
  </si>
  <si>
    <t>Date :</t>
  </si>
  <si>
    <t>PAYROLL REVIEW 2026 (SUMMARY)</t>
  </si>
  <si>
    <t>BAGUSS ENTERPRISE SDN BHD + e-PCB</t>
  </si>
  <si>
    <t>BEUKITCH CABINET SDN BHD + e-PCB</t>
  </si>
  <si>
    <t>CANPLUS INDUSTRIES SDN BHD + e-PCB</t>
  </si>
  <si>
    <t>GMAX ENGINEERING SDN BHD + e-PCB</t>
  </si>
  <si>
    <t>GMAX TECHNOLOGIES SDN BHD + e-PCB</t>
  </si>
  <si>
    <t>MAKMUR STEEL ENGINEERING S/B + e-PCB</t>
  </si>
  <si>
    <t>VALUED SYSTEM ADVISORY SDN BHD</t>
  </si>
  <si>
    <t>ZHANG HUNG ENGINEERING SDN BHD + e-PCB</t>
  </si>
  <si>
    <t>E-INVOICE REVIEW 2026 (SUMMARY)</t>
  </si>
  <si>
    <t>IMPLEMENTATION DATE</t>
  </si>
  <si>
    <t>01.07.2025</t>
  </si>
  <si>
    <t>01.01.2026</t>
  </si>
  <si>
    <r>
      <t xml:space="preserve">LASER ENGRAVE INDUSTRIES SDN BHD                                 </t>
    </r>
    <r>
      <rPr>
        <b/>
        <sz val="10.5"/>
        <rFont val="Times New Roman"/>
        <family val="1"/>
      </rPr>
      <t>Self-Billed</t>
    </r>
  </si>
  <si>
    <r>
      <t xml:space="preserve">MAKMUR STEEL ENGINEERING SDN BHD                                </t>
    </r>
    <r>
      <rPr>
        <b/>
        <sz val="10.5"/>
        <rFont val="Times New Roman"/>
        <family val="1"/>
      </rPr>
      <t>Self-Billed</t>
    </r>
  </si>
  <si>
    <r>
      <t xml:space="preserve">MICRO PRECISION SDN BHD                            </t>
    </r>
    <r>
      <rPr>
        <b/>
        <sz val="10.5"/>
        <rFont val="Times New Roman"/>
        <family val="1"/>
      </rPr>
      <t>Self-Billed</t>
    </r>
  </si>
  <si>
    <r>
      <t xml:space="preserve">ORIENTSYS TECHNOLOGY SDN BHD                           </t>
    </r>
    <r>
      <rPr>
        <b/>
        <sz val="10.5"/>
        <rFont val="Times New Roman"/>
        <family val="1"/>
      </rPr>
      <t>Self-Billed</t>
    </r>
  </si>
  <si>
    <r>
      <t xml:space="preserve">VALUED SYSTEM ADVISORY SDN BHD                           </t>
    </r>
    <r>
      <rPr>
        <b/>
        <sz val="10.5"/>
        <rFont val="Times New Roman"/>
        <family val="1"/>
      </rPr>
      <t>Self-Billed</t>
    </r>
  </si>
  <si>
    <t>SST REVIEW 2026 (SUMMARY)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</si>
</sst>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.5"/>
      <name val="Times New Roman"/>
      <family val="1"/>
    </font>
    <font>
      <b/>
      <sz val="12"/>
      <name val="Times New Roman"/>
      <family val="1"/>
    </font>
    <font>
      <b/>
      <sz val="10.5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3" xfId="0" applyFont="1" applyFill="1" applyBorder="1"/>
    <xf numFmtId="0" fontId="3" fillId="0" borderId="0" xfId="0" applyFont="1"/>
    <xf numFmtId="0" fontId="3" fillId="2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1" fillId="0" borderId="4" xfId="0" applyFont="1" applyBorder="1" applyAlignment="1">
      <alignment horizontal="center" vertical="top"/>
    </xf>
    <xf numFmtId="0" fontId="1" fillId="3" borderId="5" xfId="0" quotePrefix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0" fontId="1" fillId="0" borderId="0" xfId="0" applyFont="1" applyFill="1"/>
    <xf numFmtId="0" fontId="3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17" fontId="3" fillId="2" borderId="4" xfId="0" applyNumberFormat="1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A31"/>
  <sheetViews>
    <sheetView zoomScaleNormal="100" workbookViewId="0">
      <pane xSplit="2" topLeftCell="C1" activePane="topRight" state="frozen"/>
      <selection activeCell="E29" sqref="E29"/>
      <selection pane="topRight" activeCell="E29" sqref="E29"/>
    </sheetView>
  </sheetViews>
  <sheetFormatPr defaultColWidth="10.28515625" defaultRowHeight="15" x14ac:dyDescent="0.25"/>
  <cols>
    <col min="1" max="1" width="5.7109375" style="1" customWidth="1"/>
    <col min="2" max="2" width="43.7109375" style="1" bestFit="1" customWidth="1"/>
    <col min="3" max="3" width="17" style="1" customWidth="1"/>
    <col min="4" max="8" width="10.28515625" style="1"/>
    <col min="10" max="16384" width="10.28515625" style="1"/>
  </cols>
  <sheetData>
    <row r="2" spans="1:16" ht="15.75" x14ac:dyDescent="0.25">
      <c r="B2" s="2" t="s">
        <v>0</v>
      </c>
      <c r="C2" s="2"/>
    </row>
    <row r="3" spans="1:16" ht="15.75" thickBot="1" x14ac:dyDescent="0.3"/>
    <row r="4" spans="1:16" ht="15.75" thickBot="1" x14ac:dyDescent="0.3">
      <c r="A4" s="32" t="s">
        <v>1</v>
      </c>
      <c r="B4" s="32" t="s">
        <v>2</v>
      </c>
      <c r="C4" s="3"/>
      <c r="D4" s="4" t="s">
        <v>3</v>
      </c>
      <c r="E4" s="5"/>
      <c r="F4" s="6"/>
      <c r="G4" s="6"/>
      <c r="H4" s="6"/>
      <c r="J4" s="6"/>
      <c r="K4" s="6"/>
      <c r="L4" s="6"/>
      <c r="M4" s="6"/>
      <c r="N4" s="6"/>
      <c r="O4" s="6"/>
      <c r="P4" s="6"/>
    </row>
    <row r="5" spans="1:16" ht="19.5" customHeight="1" thickBot="1" x14ac:dyDescent="0.25">
      <c r="A5" s="33"/>
      <c r="B5" s="33"/>
      <c r="C5" s="7" t="s">
        <v>4</v>
      </c>
      <c r="D5" s="22">
        <v>46023</v>
      </c>
      <c r="E5" s="22">
        <v>46054</v>
      </c>
      <c r="F5" s="22">
        <v>46082</v>
      </c>
      <c r="G5" s="22">
        <v>46113</v>
      </c>
      <c r="H5" s="22">
        <v>46143</v>
      </c>
      <c r="I5" s="22">
        <v>46174</v>
      </c>
      <c r="J5" s="22">
        <v>46204</v>
      </c>
      <c r="K5" s="22">
        <v>46235</v>
      </c>
      <c r="L5" s="22">
        <v>46266</v>
      </c>
      <c r="M5" s="22">
        <v>46296</v>
      </c>
      <c r="N5" s="22">
        <v>46327</v>
      </c>
      <c r="O5" s="22">
        <v>46357</v>
      </c>
    </row>
    <row r="6" spans="1:16" ht="15" customHeight="1" thickBot="1" x14ac:dyDescent="0.25">
      <c r="A6" s="8">
        <v>1</v>
      </c>
      <c r="B6" s="9" t="s">
        <v>5</v>
      </c>
      <c r="C6" s="10" t="s">
        <v>6</v>
      </c>
      <c r="D6" s="10" t="s">
        <v>7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1:16" ht="15" customHeight="1" thickBot="1" x14ac:dyDescent="0.25">
      <c r="A7" s="8">
        <f>A6+1</f>
        <v>2</v>
      </c>
      <c r="B7" s="9" t="s">
        <v>8</v>
      </c>
      <c r="C7" s="9" t="s">
        <v>9</v>
      </c>
      <c r="D7" s="10" t="s">
        <v>7</v>
      </c>
      <c r="E7" s="10" t="s">
        <v>7</v>
      </c>
      <c r="F7" s="10" t="s">
        <v>7</v>
      </c>
      <c r="G7" s="10" t="s">
        <v>7</v>
      </c>
      <c r="H7" s="10" t="s">
        <v>7</v>
      </c>
      <c r="I7" s="10"/>
      <c r="J7" s="10"/>
      <c r="K7" s="10"/>
      <c r="L7" s="10"/>
      <c r="M7" s="10"/>
      <c r="N7" s="10"/>
      <c r="O7" s="10"/>
    </row>
    <row r="8" spans="1:16" ht="15" customHeight="1" thickBot="1" x14ac:dyDescent="0.25">
      <c r="A8" s="8">
        <f>A7+1</f>
        <v>3</v>
      </c>
      <c r="B8" s="9" t="s">
        <v>10</v>
      </c>
      <c r="C8" s="9" t="s">
        <v>9</v>
      </c>
      <c r="D8" s="11" t="s">
        <v>11</v>
      </c>
      <c r="E8" s="11" t="s">
        <v>11</v>
      </c>
      <c r="F8" s="11" t="s">
        <v>11</v>
      </c>
      <c r="G8" s="10" t="s">
        <v>12</v>
      </c>
      <c r="H8" s="10" t="s">
        <v>12</v>
      </c>
      <c r="I8" s="10" t="s">
        <v>12</v>
      </c>
      <c r="J8" s="10" t="s">
        <v>12</v>
      </c>
      <c r="K8" s="10" t="s">
        <v>12</v>
      </c>
      <c r="L8" s="10" t="s">
        <v>12</v>
      </c>
      <c r="M8" s="10"/>
      <c r="N8" s="10"/>
      <c r="O8" s="10"/>
    </row>
    <row r="9" spans="1:16" ht="15" customHeight="1" thickBot="1" x14ac:dyDescent="0.25">
      <c r="A9" s="8">
        <f t="shared" ref="A9:A21" si="0">A8+1</f>
        <v>4</v>
      </c>
      <c r="B9" s="9" t="s">
        <v>13</v>
      </c>
      <c r="C9" s="10" t="s">
        <v>6</v>
      </c>
      <c r="D9" s="10" t="s">
        <v>7</v>
      </c>
      <c r="E9" s="10" t="s">
        <v>7</v>
      </c>
      <c r="F9" s="10" t="s">
        <v>7</v>
      </c>
      <c r="G9" s="10" t="s">
        <v>7</v>
      </c>
      <c r="H9" s="10" t="s">
        <v>7</v>
      </c>
      <c r="I9" s="10" t="s">
        <v>7</v>
      </c>
      <c r="J9" s="10" t="s">
        <v>7</v>
      </c>
      <c r="K9" s="10" t="s">
        <v>7</v>
      </c>
      <c r="L9" s="10" t="s">
        <v>7</v>
      </c>
      <c r="M9" s="11" t="s">
        <v>11</v>
      </c>
      <c r="N9" s="11" t="s">
        <v>11</v>
      </c>
      <c r="O9" s="11" t="s">
        <v>11</v>
      </c>
    </row>
    <row r="10" spans="1:16" ht="15" customHeight="1" thickBot="1" x14ac:dyDescent="0.25">
      <c r="A10" s="8">
        <f t="shared" si="0"/>
        <v>5</v>
      </c>
      <c r="B10" s="9" t="s">
        <v>14</v>
      </c>
      <c r="C10" s="9" t="s">
        <v>9</v>
      </c>
      <c r="D10" s="10" t="s">
        <v>15</v>
      </c>
      <c r="E10" s="10" t="s">
        <v>15</v>
      </c>
      <c r="F10" s="10" t="s">
        <v>15</v>
      </c>
      <c r="G10" s="10" t="s">
        <v>15</v>
      </c>
      <c r="H10" s="10" t="s">
        <v>15</v>
      </c>
      <c r="I10" s="10" t="s">
        <v>15</v>
      </c>
      <c r="J10" s="10" t="s">
        <v>15</v>
      </c>
      <c r="K10" s="10" t="s">
        <v>15</v>
      </c>
      <c r="L10" s="10" t="s">
        <v>15</v>
      </c>
      <c r="M10" s="10"/>
      <c r="N10" s="10"/>
      <c r="O10" s="10"/>
    </row>
    <row r="11" spans="1:16" ht="15" customHeight="1" thickBot="1" x14ac:dyDescent="0.25">
      <c r="A11" s="8">
        <f t="shared" si="0"/>
        <v>6</v>
      </c>
      <c r="B11" s="9" t="s">
        <v>16</v>
      </c>
      <c r="C11" s="10" t="s">
        <v>6</v>
      </c>
      <c r="D11" s="10" t="s">
        <v>15</v>
      </c>
      <c r="E11" s="10" t="s">
        <v>15</v>
      </c>
      <c r="F11" s="10" t="s">
        <v>15</v>
      </c>
      <c r="G11" s="10" t="s">
        <v>15</v>
      </c>
      <c r="H11" s="10" t="s">
        <v>15</v>
      </c>
      <c r="I11" s="10" t="s">
        <v>15</v>
      </c>
      <c r="J11" s="10"/>
      <c r="K11" s="10"/>
      <c r="L11" s="10"/>
      <c r="M11" s="10"/>
      <c r="N11" s="10"/>
      <c r="O11" s="10"/>
    </row>
    <row r="12" spans="1:16" ht="15" customHeight="1" thickBot="1" x14ac:dyDescent="0.25">
      <c r="A12" s="8">
        <f t="shared" si="0"/>
        <v>7</v>
      </c>
      <c r="B12" s="9" t="s">
        <v>17</v>
      </c>
      <c r="C12" s="9" t="s">
        <v>9</v>
      </c>
      <c r="D12" s="10" t="s">
        <v>15</v>
      </c>
      <c r="E12" s="10" t="s">
        <v>15</v>
      </c>
      <c r="F12" s="10" t="s">
        <v>15</v>
      </c>
      <c r="G12" s="10" t="s">
        <v>15</v>
      </c>
      <c r="H12" s="10" t="s">
        <v>15</v>
      </c>
      <c r="I12" s="10" t="s">
        <v>15</v>
      </c>
      <c r="J12" s="10" t="s">
        <v>15</v>
      </c>
      <c r="K12" s="10" t="s">
        <v>15</v>
      </c>
      <c r="L12" s="10" t="s">
        <v>15</v>
      </c>
      <c r="M12" s="10"/>
      <c r="N12" s="10"/>
      <c r="O12" s="10"/>
    </row>
    <row r="13" spans="1:16" ht="15" customHeight="1" thickBot="1" x14ac:dyDescent="0.25">
      <c r="A13" s="8">
        <f t="shared" si="0"/>
        <v>8</v>
      </c>
      <c r="B13" s="9" t="s">
        <v>18</v>
      </c>
      <c r="C13" s="9" t="s">
        <v>9</v>
      </c>
      <c r="D13" s="10" t="s">
        <v>7</v>
      </c>
      <c r="E13" s="10" t="s">
        <v>7</v>
      </c>
      <c r="F13" s="10" t="s">
        <v>7</v>
      </c>
      <c r="G13" s="10" t="s">
        <v>7</v>
      </c>
      <c r="H13" s="10" t="s">
        <v>7</v>
      </c>
      <c r="I13" s="10" t="s">
        <v>7</v>
      </c>
      <c r="J13" s="10" t="s">
        <v>7</v>
      </c>
      <c r="K13" s="10" t="s">
        <v>7</v>
      </c>
      <c r="L13" s="10"/>
      <c r="M13" s="10"/>
      <c r="N13" s="10"/>
      <c r="O13" s="10"/>
    </row>
    <row r="14" spans="1:16" ht="15" customHeight="1" thickBot="1" x14ac:dyDescent="0.25">
      <c r="A14" s="8">
        <f t="shared" si="0"/>
        <v>9</v>
      </c>
      <c r="B14" s="9" t="s">
        <v>19</v>
      </c>
      <c r="C14" s="10" t="s">
        <v>20</v>
      </c>
      <c r="D14" s="10" t="s">
        <v>7</v>
      </c>
      <c r="E14" s="10" t="s">
        <v>7</v>
      </c>
      <c r="F14" s="10" t="s">
        <v>7</v>
      </c>
      <c r="G14" s="10" t="s">
        <v>7</v>
      </c>
      <c r="H14" s="10" t="s">
        <v>7</v>
      </c>
      <c r="I14" s="10" t="s">
        <v>7</v>
      </c>
      <c r="J14" s="10" t="s">
        <v>7</v>
      </c>
      <c r="K14" s="10" t="s">
        <v>7</v>
      </c>
      <c r="L14" s="10" t="s">
        <v>7</v>
      </c>
      <c r="M14" s="10"/>
      <c r="N14" s="10"/>
      <c r="O14" s="10"/>
    </row>
    <row r="15" spans="1:16" ht="15" customHeight="1" thickBot="1" x14ac:dyDescent="0.25">
      <c r="A15" s="8">
        <f t="shared" si="0"/>
        <v>10</v>
      </c>
      <c r="B15" s="9" t="s">
        <v>21</v>
      </c>
      <c r="C15" s="9" t="s">
        <v>9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6" ht="15" customHeight="1" thickBot="1" x14ac:dyDescent="0.25">
      <c r="A16" s="8">
        <f t="shared" si="0"/>
        <v>11</v>
      </c>
      <c r="B16" s="9" t="s">
        <v>22</v>
      </c>
      <c r="C16" s="10" t="s">
        <v>6</v>
      </c>
      <c r="D16" s="10" t="s">
        <v>12</v>
      </c>
      <c r="E16" s="10" t="s">
        <v>12</v>
      </c>
      <c r="F16" s="10" t="s">
        <v>12</v>
      </c>
      <c r="G16" s="10" t="s">
        <v>12</v>
      </c>
      <c r="H16" s="10" t="s">
        <v>12</v>
      </c>
      <c r="I16" s="10"/>
      <c r="J16" s="10"/>
      <c r="K16" s="10"/>
      <c r="L16" s="10"/>
      <c r="M16" s="10"/>
      <c r="N16" s="10"/>
      <c r="O16" s="10"/>
    </row>
    <row r="17" spans="1:27" ht="15" customHeight="1" thickBot="1" x14ac:dyDescent="0.25">
      <c r="A17" s="8">
        <f t="shared" si="0"/>
        <v>12</v>
      </c>
      <c r="B17" s="9" t="s">
        <v>23</v>
      </c>
      <c r="C17" s="9" t="s">
        <v>9</v>
      </c>
      <c r="D17" s="11" t="s">
        <v>11</v>
      </c>
      <c r="E17" s="11" t="s">
        <v>11</v>
      </c>
      <c r="F17" s="11" t="s">
        <v>11</v>
      </c>
      <c r="G17" s="11" t="s">
        <v>11</v>
      </c>
      <c r="H17" s="10" t="s">
        <v>24</v>
      </c>
      <c r="I17" s="10" t="s">
        <v>24</v>
      </c>
      <c r="J17" s="10" t="s">
        <v>24</v>
      </c>
      <c r="K17" s="10" t="s">
        <v>24</v>
      </c>
      <c r="L17" s="10" t="s">
        <v>24</v>
      </c>
      <c r="M17" s="10"/>
      <c r="N17" s="10"/>
      <c r="O17" s="10"/>
    </row>
    <row r="18" spans="1:27" ht="15" customHeight="1" thickBot="1" x14ac:dyDescent="0.25">
      <c r="A18" s="8">
        <f t="shared" si="0"/>
        <v>13</v>
      </c>
      <c r="B18" s="9" t="s">
        <v>25</v>
      </c>
      <c r="C18" s="9" t="s">
        <v>9</v>
      </c>
      <c r="D18" s="10" t="s">
        <v>15</v>
      </c>
      <c r="E18" s="10" t="s">
        <v>15</v>
      </c>
      <c r="F18" s="10" t="s">
        <v>15</v>
      </c>
      <c r="G18" s="10" t="s">
        <v>15</v>
      </c>
      <c r="H18" s="10" t="s">
        <v>15</v>
      </c>
      <c r="I18" s="10" t="s">
        <v>15</v>
      </c>
      <c r="J18" s="10" t="s">
        <v>15</v>
      </c>
      <c r="K18" s="10" t="s">
        <v>15</v>
      </c>
      <c r="L18" s="10" t="s">
        <v>15</v>
      </c>
      <c r="M18" s="10"/>
      <c r="N18" s="10"/>
      <c r="O18" s="10"/>
    </row>
    <row r="19" spans="1:27" ht="15" customHeight="1" thickBot="1" x14ac:dyDescent="0.25">
      <c r="A19" s="8">
        <f t="shared" si="0"/>
        <v>14</v>
      </c>
      <c r="B19" s="9" t="s">
        <v>26</v>
      </c>
      <c r="C19" s="10" t="s">
        <v>6</v>
      </c>
      <c r="D19" s="10" t="s">
        <v>12</v>
      </c>
      <c r="E19" s="10" t="s">
        <v>12</v>
      </c>
      <c r="F19" s="10" t="s">
        <v>12</v>
      </c>
      <c r="G19" s="10" t="s">
        <v>12</v>
      </c>
      <c r="H19" s="10" t="s">
        <v>12</v>
      </c>
      <c r="I19" s="10" t="s">
        <v>12</v>
      </c>
      <c r="J19" s="10" t="s">
        <v>12</v>
      </c>
      <c r="K19" s="10"/>
      <c r="L19" s="10"/>
      <c r="M19" s="10"/>
      <c r="N19" s="10"/>
      <c r="O19" s="10"/>
    </row>
    <row r="20" spans="1:27" ht="15" customHeight="1" thickBot="1" x14ac:dyDescent="0.25">
      <c r="A20" s="8">
        <f t="shared" si="0"/>
        <v>15</v>
      </c>
      <c r="B20" s="9" t="s">
        <v>27</v>
      </c>
      <c r="C20" s="9" t="s">
        <v>9</v>
      </c>
      <c r="D20" s="10" t="s">
        <v>12</v>
      </c>
      <c r="E20" s="10" t="s">
        <v>12</v>
      </c>
      <c r="F20" s="10" t="s">
        <v>12</v>
      </c>
      <c r="G20" s="10" t="s">
        <v>12</v>
      </c>
      <c r="H20" s="10" t="s">
        <v>12</v>
      </c>
      <c r="I20" s="10" t="s">
        <v>12</v>
      </c>
      <c r="J20" s="10" t="s">
        <v>12</v>
      </c>
      <c r="K20" s="10" t="s">
        <v>12</v>
      </c>
      <c r="L20" s="10" t="s">
        <v>12</v>
      </c>
      <c r="M20" s="10"/>
      <c r="N20" s="10"/>
      <c r="O20" s="10"/>
    </row>
    <row r="21" spans="1:27" ht="15" customHeight="1" thickBot="1" x14ac:dyDescent="0.25">
      <c r="A21" s="8">
        <f t="shared" si="0"/>
        <v>16</v>
      </c>
      <c r="B21" s="9" t="s">
        <v>28</v>
      </c>
      <c r="C21" s="10" t="s">
        <v>6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27" ht="13.5" x14ac:dyDescent="0.2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</row>
    <row r="23" spans="1:27" ht="13.5" x14ac:dyDescent="0.2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</row>
    <row r="24" spans="1:27" ht="13.5" x14ac:dyDescent="0.2">
      <c r="A24" s="14"/>
      <c r="B24" s="15" t="s">
        <v>29</v>
      </c>
      <c r="D24" s="1" t="s">
        <v>15</v>
      </c>
      <c r="E24" s="1">
        <f>COUNTIF(D6:O21, "*IZA")</f>
        <v>33</v>
      </c>
      <c r="I24" s="1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ht="13.5" x14ac:dyDescent="0.2">
      <c r="B25" s="15"/>
      <c r="C25" s="15"/>
      <c r="D25" s="1" t="s">
        <v>7</v>
      </c>
      <c r="E25" s="1">
        <f>COUNTIF(D6:O21, "*LY*")</f>
        <v>32</v>
      </c>
      <c r="H25" s="6"/>
      <c r="I25" s="1"/>
    </row>
    <row r="26" spans="1:27" ht="13.5" x14ac:dyDescent="0.2">
      <c r="B26" s="15"/>
      <c r="C26" s="15"/>
      <c r="D26" s="1" t="s">
        <v>12</v>
      </c>
      <c r="E26" s="1">
        <f>COUNTIF(D6:O21, "*YS*")</f>
        <v>27</v>
      </c>
      <c r="I26" s="1"/>
    </row>
    <row r="27" spans="1:27" ht="13.5" x14ac:dyDescent="0.2">
      <c r="C27" s="15"/>
      <c r="D27" s="1" t="s">
        <v>24</v>
      </c>
      <c r="E27" s="1">
        <f>COUNTIF(D6:O21, "*YEOH*")</f>
        <v>5</v>
      </c>
      <c r="I27" s="1"/>
    </row>
    <row r="28" spans="1:27" x14ac:dyDescent="0.25">
      <c r="B28" s="17"/>
      <c r="E28" s="1">
        <f>SUM(E24:E27)</f>
        <v>97</v>
      </c>
    </row>
    <row r="29" spans="1:27" ht="13.5" x14ac:dyDescent="0.2">
      <c r="B29" s="1" t="s">
        <v>30</v>
      </c>
      <c r="C29" s="18"/>
      <c r="I29" s="1"/>
    </row>
    <row r="30" spans="1:27" ht="13.5" x14ac:dyDescent="0.2">
      <c r="B30" s="15" t="s">
        <v>31</v>
      </c>
      <c r="I30" s="1"/>
    </row>
    <row r="31" spans="1:27" ht="13.5" x14ac:dyDescent="0.2">
      <c r="C31" s="15"/>
      <c r="I31" s="1"/>
    </row>
  </sheetData>
  <mergeCells count="2">
    <mergeCell ref="A4:A5"/>
    <mergeCell ref="B4:B5"/>
  </mergeCells>
  <pageMargins left="0.7" right="0.7" top="0.75" bottom="0.75" header="0.3" footer="0.3"/>
  <pageSetup paperSize="9" scale="4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Z26"/>
  <sheetViews>
    <sheetView tabSelected="1" zoomScaleNormal="100" workbookViewId="0">
      <pane xSplit="2" topLeftCell="C1" activePane="topRight" state="frozen"/>
      <selection activeCell="E29" sqref="E29"/>
      <selection pane="topRight" activeCell="H19" sqref="H19"/>
    </sheetView>
  </sheetViews>
  <sheetFormatPr defaultColWidth="10.28515625" defaultRowHeight="13.5" x14ac:dyDescent="0.2"/>
  <cols>
    <col min="1" max="1" width="5.7109375" style="1" customWidth="1"/>
    <col min="2" max="2" width="45.42578125" style="1" customWidth="1"/>
    <col min="3" max="16384" width="10.28515625" style="1"/>
  </cols>
  <sheetData>
    <row r="2" spans="1:14" ht="15.75" x14ac:dyDescent="0.25">
      <c r="B2" s="2" t="s">
        <v>32</v>
      </c>
    </row>
    <row r="3" spans="1:14" ht="14.25" thickBot="1" x14ac:dyDescent="0.25"/>
    <row r="4" spans="1:14" ht="14.25" thickBot="1" x14ac:dyDescent="0.25">
      <c r="A4" s="32" t="s">
        <v>1</v>
      </c>
      <c r="B4" s="32" t="s">
        <v>2</v>
      </c>
      <c r="C4" s="4" t="s">
        <v>3</v>
      </c>
      <c r="D4" s="5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19.5" customHeight="1" thickBot="1" x14ac:dyDescent="0.25">
      <c r="A5" s="33"/>
      <c r="B5" s="33"/>
      <c r="C5" s="22">
        <v>46023</v>
      </c>
      <c r="D5" s="22">
        <v>46054</v>
      </c>
      <c r="E5" s="22">
        <v>46082</v>
      </c>
      <c r="F5" s="22">
        <v>46113</v>
      </c>
      <c r="G5" s="22">
        <v>46143</v>
      </c>
      <c r="H5" s="22">
        <v>46174</v>
      </c>
      <c r="I5" s="22">
        <v>46204</v>
      </c>
      <c r="J5" s="22">
        <v>46235</v>
      </c>
      <c r="K5" s="22">
        <v>46266</v>
      </c>
      <c r="L5" s="22">
        <v>46296</v>
      </c>
      <c r="M5" s="22">
        <v>46327</v>
      </c>
      <c r="N5" s="22">
        <v>46357</v>
      </c>
    </row>
    <row r="6" spans="1:14" ht="15" customHeight="1" thickBot="1" x14ac:dyDescent="0.25">
      <c r="A6" s="8">
        <v>1</v>
      </c>
      <c r="B6" s="19" t="s">
        <v>5</v>
      </c>
      <c r="C6" s="10" t="s">
        <v>7</v>
      </c>
      <c r="D6" s="10" t="s">
        <v>7</v>
      </c>
      <c r="E6" s="10" t="s">
        <v>7</v>
      </c>
      <c r="F6" s="10" t="s">
        <v>7</v>
      </c>
      <c r="G6" s="10" t="s">
        <v>7</v>
      </c>
      <c r="H6" s="10" t="s">
        <v>7</v>
      </c>
      <c r="I6" s="10" t="s">
        <v>7</v>
      </c>
      <c r="J6" s="10" t="s">
        <v>7</v>
      </c>
      <c r="K6" s="10" t="s">
        <v>7</v>
      </c>
      <c r="L6" s="10"/>
      <c r="M6" s="10"/>
      <c r="N6" s="10"/>
    </row>
    <row r="7" spans="1:14" ht="15" customHeight="1" thickBot="1" x14ac:dyDescent="0.25">
      <c r="A7" s="8">
        <f>A6+1</f>
        <v>2</v>
      </c>
      <c r="B7" s="19" t="s">
        <v>33</v>
      </c>
      <c r="C7" s="10" t="s">
        <v>7</v>
      </c>
      <c r="D7" s="10" t="s">
        <v>7</v>
      </c>
      <c r="E7" s="10" t="s">
        <v>7</v>
      </c>
      <c r="F7" s="10" t="s">
        <v>7</v>
      </c>
      <c r="G7" s="10" t="s">
        <v>7</v>
      </c>
      <c r="H7" s="10" t="s">
        <v>7</v>
      </c>
      <c r="I7" s="10" t="s">
        <v>7</v>
      </c>
      <c r="J7" s="10" t="s">
        <v>7</v>
      </c>
      <c r="K7" s="10" t="s">
        <v>15</v>
      </c>
      <c r="L7" s="10"/>
      <c r="M7" s="10"/>
      <c r="N7" s="10"/>
    </row>
    <row r="8" spans="1:14" ht="15" customHeight="1" thickBot="1" x14ac:dyDescent="0.25">
      <c r="A8" s="8">
        <f t="shared" ref="A8:A17" si="0">A7+1</f>
        <v>3</v>
      </c>
      <c r="B8" s="19" t="s">
        <v>34</v>
      </c>
      <c r="C8" s="10" t="s">
        <v>7</v>
      </c>
      <c r="D8" s="10" t="s">
        <v>7</v>
      </c>
      <c r="E8" s="10" t="s">
        <v>7</v>
      </c>
      <c r="F8" s="10" t="s">
        <v>7</v>
      </c>
      <c r="G8" s="10" t="s">
        <v>7</v>
      </c>
      <c r="H8" s="10" t="s">
        <v>7</v>
      </c>
      <c r="I8" s="10" t="s">
        <v>7</v>
      </c>
      <c r="J8" s="10" t="s">
        <v>7</v>
      </c>
      <c r="K8" s="10" t="s">
        <v>7</v>
      </c>
      <c r="L8" s="10"/>
      <c r="M8" s="10"/>
      <c r="N8" s="10"/>
    </row>
    <row r="9" spans="1:14" ht="15" customHeight="1" thickBot="1" x14ac:dyDescent="0.25">
      <c r="A9" s="8">
        <f t="shared" si="0"/>
        <v>4</v>
      </c>
      <c r="B9" s="19" t="s">
        <v>35</v>
      </c>
      <c r="C9" s="10" t="s">
        <v>7</v>
      </c>
      <c r="D9" s="10" t="s">
        <v>7</v>
      </c>
      <c r="E9" s="10" t="s">
        <v>7</v>
      </c>
      <c r="F9" s="10" t="s">
        <v>7</v>
      </c>
      <c r="G9" s="10" t="s">
        <v>7</v>
      </c>
      <c r="H9" s="10" t="s">
        <v>7</v>
      </c>
      <c r="I9" s="10" t="s">
        <v>7</v>
      </c>
      <c r="J9" s="10" t="s">
        <v>7</v>
      </c>
      <c r="K9" s="10" t="s">
        <v>7</v>
      </c>
      <c r="L9" s="10"/>
      <c r="M9" s="10"/>
      <c r="N9" s="10"/>
    </row>
    <row r="10" spans="1:14" ht="15" customHeight="1" thickBot="1" x14ac:dyDescent="0.25">
      <c r="A10" s="8">
        <f t="shared" si="0"/>
        <v>5</v>
      </c>
      <c r="B10" s="19" t="s">
        <v>36</v>
      </c>
      <c r="C10" s="10" t="s">
        <v>7</v>
      </c>
      <c r="D10" s="10" t="s">
        <v>7</v>
      </c>
      <c r="E10" s="10" t="s">
        <v>7</v>
      </c>
      <c r="F10" s="10" t="s">
        <v>7</v>
      </c>
      <c r="G10" s="10" t="s">
        <v>7</v>
      </c>
      <c r="H10" s="10" t="s">
        <v>7</v>
      </c>
      <c r="I10" s="10" t="s">
        <v>7</v>
      </c>
      <c r="J10" s="10" t="s">
        <v>7</v>
      </c>
      <c r="K10" s="10" t="s">
        <v>24</v>
      </c>
      <c r="L10" s="10"/>
      <c r="M10" s="10"/>
      <c r="N10" s="10"/>
    </row>
    <row r="11" spans="1:14" ht="15" customHeight="1" thickBot="1" x14ac:dyDescent="0.25">
      <c r="A11" s="8">
        <f t="shared" si="0"/>
        <v>6</v>
      </c>
      <c r="B11" s="19" t="s">
        <v>37</v>
      </c>
      <c r="C11" s="10" t="s">
        <v>15</v>
      </c>
      <c r="D11" s="10" t="s">
        <v>15</v>
      </c>
      <c r="E11" s="10" t="s">
        <v>15</v>
      </c>
      <c r="F11" s="10" t="s">
        <v>15</v>
      </c>
      <c r="G11" s="10" t="s">
        <v>15</v>
      </c>
      <c r="H11" s="10" t="s">
        <v>15</v>
      </c>
      <c r="I11" s="10" t="s">
        <v>15</v>
      </c>
      <c r="J11" s="10" t="s">
        <v>15</v>
      </c>
      <c r="K11" s="10" t="s">
        <v>15</v>
      </c>
      <c r="L11" s="10"/>
      <c r="M11" s="10"/>
      <c r="N11" s="10"/>
    </row>
    <row r="12" spans="1:14" ht="15" customHeight="1" thickBot="1" x14ac:dyDescent="0.25">
      <c r="A12" s="8">
        <f t="shared" si="0"/>
        <v>7</v>
      </c>
      <c r="B12" s="19" t="s">
        <v>18</v>
      </c>
      <c r="C12" s="10" t="s">
        <v>12</v>
      </c>
      <c r="D12" s="10" t="s">
        <v>12</v>
      </c>
      <c r="E12" s="10" t="s">
        <v>12</v>
      </c>
      <c r="F12" s="10" t="s">
        <v>12</v>
      </c>
      <c r="G12" s="10" t="s">
        <v>12</v>
      </c>
      <c r="H12" s="10" t="s">
        <v>12</v>
      </c>
      <c r="I12" s="10" t="s">
        <v>12</v>
      </c>
      <c r="J12" s="10" t="s">
        <v>12</v>
      </c>
      <c r="K12" s="10" t="s">
        <v>12</v>
      </c>
      <c r="L12" s="10"/>
      <c r="M12" s="10"/>
      <c r="N12" s="10"/>
    </row>
    <row r="13" spans="1:14" ht="15" customHeight="1" thickBot="1" x14ac:dyDescent="0.25">
      <c r="A13" s="8">
        <f t="shared" si="0"/>
        <v>8</v>
      </c>
      <c r="B13" s="19" t="s">
        <v>38</v>
      </c>
      <c r="C13" s="10" t="s">
        <v>7</v>
      </c>
      <c r="D13" s="10" t="s">
        <v>7</v>
      </c>
      <c r="E13" s="10" t="s">
        <v>7</v>
      </c>
      <c r="F13" s="10" t="s">
        <v>7</v>
      </c>
      <c r="G13" s="10" t="s">
        <v>7</v>
      </c>
      <c r="H13" s="10" t="s">
        <v>7</v>
      </c>
      <c r="I13" s="10" t="s">
        <v>7</v>
      </c>
      <c r="J13" s="20" t="s">
        <v>11</v>
      </c>
      <c r="K13" s="10" t="s">
        <v>7</v>
      </c>
      <c r="L13" s="10"/>
      <c r="M13" s="10"/>
      <c r="N13" s="10"/>
    </row>
    <row r="14" spans="1:14" ht="15" customHeight="1" thickBot="1" x14ac:dyDescent="0.25">
      <c r="A14" s="8">
        <f t="shared" si="0"/>
        <v>9</v>
      </c>
      <c r="B14" s="19" t="s">
        <v>23</v>
      </c>
      <c r="C14" s="20" t="s">
        <v>11</v>
      </c>
      <c r="D14" s="20" t="s">
        <v>11</v>
      </c>
      <c r="E14" s="20" t="s">
        <v>11</v>
      </c>
      <c r="F14" s="20" t="s">
        <v>11</v>
      </c>
      <c r="G14" s="10" t="s">
        <v>15</v>
      </c>
      <c r="H14" s="10" t="s">
        <v>15</v>
      </c>
      <c r="I14" s="10" t="s">
        <v>15</v>
      </c>
      <c r="J14" s="10" t="s">
        <v>15</v>
      </c>
      <c r="K14" s="10" t="s">
        <v>15</v>
      </c>
      <c r="L14" s="10"/>
      <c r="M14" s="10"/>
      <c r="N14" s="10"/>
    </row>
    <row r="15" spans="1:14" ht="15" customHeight="1" thickBot="1" x14ac:dyDescent="0.25">
      <c r="A15" s="8">
        <f t="shared" si="0"/>
        <v>10</v>
      </c>
      <c r="B15" s="19" t="s">
        <v>25</v>
      </c>
      <c r="C15" s="10" t="s">
        <v>15</v>
      </c>
      <c r="D15" s="10" t="s">
        <v>15</v>
      </c>
      <c r="E15" s="10" t="s">
        <v>15</v>
      </c>
      <c r="F15" s="10" t="s">
        <v>15</v>
      </c>
      <c r="G15" s="10" t="s">
        <v>15</v>
      </c>
      <c r="H15" s="10" t="s">
        <v>15</v>
      </c>
      <c r="I15" s="10" t="s">
        <v>15</v>
      </c>
      <c r="J15" s="10" t="s">
        <v>15</v>
      </c>
      <c r="K15" s="10" t="s">
        <v>15</v>
      </c>
      <c r="L15" s="10"/>
      <c r="M15" s="10"/>
      <c r="N15" s="10"/>
    </row>
    <row r="16" spans="1:14" ht="15" customHeight="1" thickBot="1" x14ac:dyDescent="0.25">
      <c r="A16" s="8">
        <f t="shared" si="0"/>
        <v>11</v>
      </c>
      <c r="B16" s="19" t="s">
        <v>39</v>
      </c>
      <c r="C16" s="10" t="s">
        <v>12</v>
      </c>
      <c r="D16" s="10" t="s">
        <v>12</v>
      </c>
      <c r="E16" s="10" t="s">
        <v>12</v>
      </c>
      <c r="F16" s="10" t="s">
        <v>12</v>
      </c>
      <c r="G16" s="10" t="s">
        <v>12</v>
      </c>
      <c r="H16" s="10" t="s">
        <v>12</v>
      </c>
      <c r="I16" s="10" t="s">
        <v>12</v>
      </c>
      <c r="J16" s="10" t="s">
        <v>12</v>
      </c>
      <c r="K16" s="10" t="s">
        <v>12</v>
      </c>
      <c r="L16" s="10"/>
      <c r="M16" s="10"/>
      <c r="N16" s="10"/>
    </row>
    <row r="17" spans="1:26" ht="15" customHeight="1" thickBot="1" x14ac:dyDescent="0.25">
      <c r="A17" s="8">
        <f t="shared" si="0"/>
        <v>12</v>
      </c>
      <c r="B17" s="19" t="s">
        <v>40</v>
      </c>
      <c r="C17" s="10" t="s">
        <v>12</v>
      </c>
      <c r="D17" s="10" t="s">
        <v>12</v>
      </c>
      <c r="E17" s="10" t="s">
        <v>12</v>
      </c>
      <c r="F17" s="10" t="s">
        <v>12</v>
      </c>
      <c r="G17" s="10" t="s">
        <v>12</v>
      </c>
      <c r="H17" s="10" t="s">
        <v>12</v>
      </c>
      <c r="I17" s="10" t="s">
        <v>12</v>
      </c>
      <c r="J17" s="10" t="s">
        <v>12</v>
      </c>
      <c r="K17" s="10" t="s">
        <v>12</v>
      </c>
      <c r="L17" s="10"/>
      <c r="M17" s="10"/>
      <c r="N17" s="10"/>
    </row>
    <row r="18" spans="1:26" x14ac:dyDescent="0.2">
      <c r="A18" s="14"/>
      <c r="B18" s="21"/>
      <c r="C18" s="21"/>
      <c r="D18" s="21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x14ac:dyDescent="0.2">
      <c r="A19" s="14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x14ac:dyDescent="0.2">
      <c r="A20" s="14"/>
      <c r="B20" s="15" t="s">
        <v>29</v>
      </c>
      <c r="C20" s="1" t="s">
        <v>15</v>
      </c>
      <c r="D20" s="1">
        <f>COUNTIF(C6:N17, "*Iza*")</f>
        <v>24</v>
      </c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x14ac:dyDescent="0.2">
      <c r="B21" s="15"/>
      <c r="C21" s="1" t="s">
        <v>7</v>
      </c>
      <c r="D21" s="1">
        <f>COUNTIF(C6:N17, "*LY*")</f>
        <v>51</v>
      </c>
      <c r="G21" s="6"/>
    </row>
    <row r="22" spans="1:26" x14ac:dyDescent="0.2">
      <c r="B22" s="15"/>
      <c r="C22" s="1" t="s">
        <v>12</v>
      </c>
      <c r="D22" s="1">
        <f>COUNTIF(C6:N17, "*YS*")</f>
        <v>27</v>
      </c>
    </row>
    <row r="23" spans="1:26" x14ac:dyDescent="0.2">
      <c r="C23" s="1" t="s">
        <v>24</v>
      </c>
      <c r="D23" s="1">
        <f>COUNTIF(C6:N17, "*YEOH*")</f>
        <v>1</v>
      </c>
    </row>
    <row r="24" spans="1:26" x14ac:dyDescent="0.2">
      <c r="B24" s="17"/>
      <c r="D24" s="1">
        <f>SUM(D20:D23)</f>
        <v>103</v>
      </c>
    </row>
    <row r="25" spans="1:26" x14ac:dyDescent="0.2">
      <c r="B25" s="1" t="s">
        <v>30</v>
      </c>
    </row>
    <row r="26" spans="1:26" x14ac:dyDescent="0.2">
      <c r="B26" s="15" t="s">
        <v>31</v>
      </c>
    </row>
  </sheetData>
  <mergeCells count="2">
    <mergeCell ref="A4:A5"/>
    <mergeCell ref="B4:B5"/>
  </mergeCells>
  <pageMargins left="0.7" right="0.7" top="0.75" bottom="0.75" header="0.3" footer="0.3"/>
  <pageSetup paperSize="9" scale="4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27"/>
  <sheetViews>
    <sheetView zoomScaleNormal="100" workbookViewId="0">
      <pane xSplit="3" topLeftCell="D1" activePane="topRight" state="frozen"/>
      <selection activeCell="E29" sqref="E29"/>
      <selection pane="topRight" activeCell="J22" sqref="J22"/>
    </sheetView>
  </sheetViews>
  <sheetFormatPr defaultColWidth="10.28515625" defaultRowHeight="13.5" x14ac:dyDescent="0.2"/>
  <cols>
    <col min="1" max="1" width="5.7109375" style="1" customWidth="1"/>
    <col min="2" max="2" width="42.85546875" style="1" customWidth="1"/>
    <col min="3" max="3" width="22" style="1" customWidth="1"/>
    <col min="4" max="16384" width="10.28515625" style="1"/>
  </cols>
  <sheetData>
    <row r="2" spans="1:15" ht="15.75" x14ac:dyDescent="0.25">
      <c r="B2" s="2" t="s">
        <v>41</v>
      </c>
      <c r="C2" s="2"/>
    </row>
    <row r="3" spans="1:15" ht="14.25" thickBot="1" x14ac:dyDescent="0.25"/>
    <row r="4" spans="1:15" s="23" customFormat="1" ht="15" customHeight="1" x14ac:dyDescent="0.2">
      <c r="A4" s="32" t="s">
        <v>1</v>
      </c>
      <c r="B4" s="36" t="s">
        <v>2</v>
      </c>
      <c r="C4" s="37" t="s">
        <v>42</v>
      </c>
      <c r="D4" s="34">
        <v>46023</v>
      </c>
      <c r="E4" s="34">
        <v>46054</v>
      </c>
      <c r="F4" s="34">
        <v>46082</v>
      </c>
      <c r="G4" s="34">
        <v>46113</v>
      </c>
      <c r="H4" s="34">
        <v>46143</v>
      </c>
      <c r="I4" s="34">
        <v>46174</v>
      </c>
      <c r="J4" s="34">
        <v>46204</v>
      </c>
      <c r="K4" s="34">
        <v>46235</v>
      </c>
      <c r="L4" s="34">
        <v>46266</v>
      </c>
      <c r="M4" s="34">
        <v>46296</v>
      </c>
      <c r="N4" s="34">
        <v>46327</v>
      </c>
      <c r="O4" s="34">
        <v>46357</v>
      </c>
    </row>
    <row r="5" spans="1:15" s="23" customFormat="1" ht="15" customHeight="1" thickBot="1" x14ac:dyDescent="0.25">
      <c r="A5" s="33"/>
      <c r="B5" s="33"/>
      <c r="C5" s="38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</row>
    <row r="6" spans="1:15" ht="15" customHeight="1" thickBot="1" x14ac:dyDescent="0.25">
      <c r="A6" s="24">
        <v>1</v>
      </c>
      <c r="B6" s="25" t="s">
        <v>5</v>
      </c>
      <c r="C6" s="26" t="s">
        <v>43</v>
      </c>
      <c r="D6" s="10" t="s">
        <v>7</v>
      </c>
      <c r="E6" s="10" t="s">
        <v>7</v>
      </c>
      <c r="F6" s="10" t="s">
        <v>15</v>
      </c>
      <c r="G6" s="10" t="s">
        <v>15</v>
      </c>
      <c r="H6" s="10" t="s">
        <v>15</v>
      </c>
      <c r="I6" s="10" t="s">
        <v>7</v>
      </c>
      <c r="J6" s="10" t="s">
        <v>7</v>
      </c>
      <c r="K6" s="10" t="s">
        <v>7</v>
      </c>
      <c r="L6" s="10" t="s">
        <v>7</v>
      </c>
      <c r="M6" s="10"/>
      <c r="N6" s="10"/>
      <c r="O6" s="10"/>
    </row>
    <row r="7" spans="1:15" ht="15" customHeight="1" thickBot="1" x14ac:dyDescent="0.25">
      <c r="A7" s="24">
        <f>A6+1</f>
        <v>2</v>
      </c>
      <c r="B7" s="25" t="s">
        <v>8</v>
      </c>
      <c r="C7" s="26" t="s">
        <v>44</v>
      </c>
      <c r="D7" s="10" t="s">
        <v>7</v>
      </c>
      <c r="E7" s="20" t="s">
        <v>11</v>
      </c>
      <c r="F7" s="10" t="s">
        <v>7</v>
      </c>
      <c r="G7" s="10" t="s">
        <v>7</v>
      </c>
      <c r="H7" s="10" t="s">
        <v>7</v>
      </c>
      <c r="I7" s="10" t="s">
        <v>7</v>
      </c>
      <c r="J7" s="10" t="s">
        <v>7</v>
      </c>
      <c r="K7" s="10" t="s">
        <v>7</v>
      </c>
      <c r="L7" s="10" t="s">
        <v>7</v>
      </c>
      <c r="M7" s="10"/>
      <c r="N7" s="10"/>
      <c r="O7" s="10"/>
    </row>
    <row r="8" spans="1:15" ht="15" customHeight="1" thickBot="1" x14ac:dyDescent="0.25">
      <c r="A8" s="24">
        <f t="shared" ref="A8:A18" si="0">A7+1</f>
        <v>3</v>
      </c>
      <c r="B8" s="25" t="s">
        <v>10</v>
      </c>
      <c r="C8" s="26" t="s">
        <v>43</v>
      </c>
      <c r="D8" s="20" t="s">
        <v>11</v>
      </c>
      <c r="E8" s="20" t="s">
        <v>11</v>
      </c>
      <c r="F8" s="20" t="s">
        <v>11</v>
      </c>
      <c r="G8" s="20" t="s">
        <v>11</v>
      </c>
      <c r="H8" s="20" t="s">
        <v>11</v>
      </c>
      <c r="I8" s="20" t="s">
        <v>11</v>
      </c>
      <c r="J8" s="20" t="s">
        <v>11</v>
      </c>
      <c r="K8" s="20" t="s">
        <v>11</v>
      </c>
      <c r="L8" s="10" t="s">
        <v>7</v>
      </c>
      <c r="M8" s="10"/>
      <c r="N8" s="10"/>
      <c r="O8" s="10"/>
    </row>
    <row r="9" spans="1:15" ht="15" customHeight="1" thickBot="1" x14ac:dyDescent="0.25">
      <c r="A9" s="24">
        <f t="shared" si="0"/>
        <v>4</v>
      </c>
      <c r="B9" s="25" t="s">
        <v>13</v>
      </c>
      <c r="C9" s="26" t="s">
        <v>44</v>
      </c>
      <c r="D9" s="20" t="s">
        <v>11</v>
      </c>
      <c r="E9" s="10" t="s">
        <v>7</v>
      </c>
      <c r="F9" s="10" t="s">
        <v>7</v>
      </c>
      <c r="G9" s="20" t="s">
        <v>11</v>
      </c>
      <c r="H9" s="10" t="s">
        <v>7</v>
      </c>
      <c r="I9" s="20" t="s">
        <v>11</v>
      </c>
      <c r="J9" s="10" t="s">
        <v>7</v>
      </c>
      <c r="K9" s="20" t="s">
        <v>11</v>
      </c>
      <c r="L9" s="10" t="s">
        <v>7</v>
      </c>
      <c r="M9" s="10"/>
      <c r="N9" s="10"/>
      <c r="O9" s="10"/>
    </row>
    <row r="10" spans="1:15" ht="15" customHeight="1" thickBot="1" x14ac:dyDescent="0.25">
      <c r="A10" s="24">
        <f t="shared" si="0"/>
        <v>5</v>
      </c>
      <c r="B10" s="25" t="s">
        <v>18</v>
      </c>
      <c r="C10" s="26" t="s">
        <v>44</v>
      </c>
      <c r="D10" s="10" t="s">
        <v>7</v>
      </c>
      <c r="E10" s="10" t="s">
        <v>15</v>
      </c>
      <c r="F10" s="10" t="s">
        <v>7</v>
      </c>
      <c r="G10" s="10" t="s">
        <v>7</v>
      </c>
      <c r="H10" s="10" t="s">
        <v>7</v>
      </c>
      <c r="I10" s="10" t="s">
        <v>7</v>
      </c>
      <c r="J10" s="10" t="s">
        <v>7</v>
      </c>
      <c r="K10" s="10" t="s">
        <v>7</v>
      </c>
      <c r="L10" s="10" t="s">
        <v>7</v>
      </c>
      <c r="M10" s="10"/>
      <c r="N10" s="10"/>
      <c r="O10" s="10"/>
    </row>
    <row r="11" spans="1:15" ht="30" customHeight="1" thickBot="1" x14ac:dyDescent="0.25">
      <c r="A11" s="24">
        <f t="shared" si="0"/>
        <v>6</v>
      </c>
      <c r="B11" s="27" t="s">
        <v>45</v>
      </c>
      <c r="C11" s="26" t="s">
        <v>44</v>
      </c>
      <c r="D11" s="20" t="s">
        <v>11</v>
      </c>
      <c r="E11" s="20" t="s">
        <v>11</v>
      </c>
      <c r="F11" s="20" t="s">
        <v>11</v>
      </c>
      <c r="G11" s="10" t="s">
        <v>15</v>
      </c>
      <c r="H11" s="20" t="s">
        <v>11</v>
      </c>
      <c r="I11" s="10" t="s">
        <v>15</v>
      </c>
      <c r="J11" s="10" t="s">
        <v>15</v>
      </c>
      <c r="K11" s="20" t="s">
        <v>11</v>
      </c>
      <c r="L11" s="10" t="s">
        <v>15</v>
      </c>
      <c r="M11" s="10"/>
      <c r="N11" s="10"/>
      <c r="O11" s="10"/>
    </row>
    <row r="12" spans="1:15" ht="15" customHeight="1" thickBot="1" x14ac:dyDescent="0.25">
      <c r="A12" s="24">
        <f t="shared" si="0"/>
        <v>7</v>
      </c>
      <c r="B12" s="25" t="s">
        <v>21</v>
      </c>
      <c r="C12" s="26" t="s">
        <v>43</v>
      </c>
      <c r="D12" s="20" t="s">
        <v>11</v>
      </c>
      <c r="E12" s="20" t="s">
        <v>11</v>
      </c>
      <c r="F12" s="10" t="s">
        <v>15</v>
      </c>
      <c r="G12" s="10" t="s">
        <v>15</v>
      </c>
      <c r="H12" s="10" t="s">
        <v>15</v>
      </c>
      <c r="I12" s="10" t="s">
        <v>15</v>
      </c>
      <c r="J12" s="10" t="s">
        <v>15</v>
      </c>
      <c r="K12" s="10" t="s">
        <v>15</v>
      </c>
      <c r="L12" s="10" t="s">
        <v>15</v>
      </c>
      <c r="M12" s="10"/>
      <c r="N12" s="10"/>
      <c r="O12" s="10"/>
    </row>
    <row r="13" spans="1:15" ht="30" customHeight="1" thickBot="1" x14ac:dyDescent="0.25">
      <c r="A13" s="24">
        <f t="shared" si="0"/>
        <v>8</v>
      </c>
      <c r="B13" s="27" t="s">
        <v>46</v>
      </c>
      <c r="C13" s="26" t="s">
        <v>43</v>
      </c>
      <c r="D13" s="20" t="s">
        <v>11</v>
      </c>
      <c r="E13" s="20" t="s">
        <v>11</v>
      </c>
      <c r="F13" s="10" t="s">
        <v>15</v>
      </c>
      <c r="G13" s="10" t="s">
        <v>15</v>
      </c>
      <c r="H13" s="10" t="s">
        <v>15</v>
      </c>
      <c r="I13" s="20" t="s">
        <v>11</v>
      </c>
      <c r="J13" s="10" t="s">
        <v>15</v>
      </c>
      <c r="K13" s="20" t="s">
        <v>11</v>
      </c>
      <c r="L13" s="10" t="s">
        <v>15</v>
      </c>
      <c r="M13" s="10"/>
      <c r="N13" s="10"/>
      <c r="O13" s="10"/>
    </row>
    <row r="14" spans="1:15" ht="30" customHeight="1" thickBot="1" x14ac:dyDescent="0.25">
      <c r="A14" s="24">
        <f t="shared" si="0"/>
        <v>9</v>
      </c>
      <c r="B14" s="27" t="s">
        <v>47</v>
      </c>
      <c r="C14" s="26" t="s">
        <v>43</v>
      </c>
      <c r="D14" s="20" t="s">
        <v>11</v>
      </c>
      <c r="E14" s="20" t="s">
        <v>11</v>
      </c>
      <c r="F14" s="20" t="s">
        <v>11</v>
      </c>
      <c r="G14" s="20" t="s">
        <v>11</v>
      </c>
      <c r="H14" s="20" t="s">
        <v>11</v>
      </c>
      <c r="I14" s="10" t="s">
        <v>12</v>
      </c>
      <c r="J14" s="20" t="s">
        <v>11</v>
      </c>
      <c r="K14" s="20" t="s">
        <v>11</v>
      </c>
      <c r="L14" s="10" t="s">
        <v>24</v>
      </c>
      <c r="M14" s="10"/>
      <c r="N14" s="10"/>
      <c r="O14" s="10"/>
    </row>
    <row r="15" spans="1:15" ht="15" customHeight="1" thickBot="1" x14ac:dyDescent="0.25">
      <c r="A15" s="24">
        <f t="shared" si="0"/>
        <v>10</v>
      </c>
      <c r="B15" s="25" t="s">
        <v>23</v>
      </c>
      <c r="C15" s="26" t="s">
        <v>44</v>
      </c>
      <c r="D15" s="10" t="s">
        <v>12</v>
      </c>
      <c r="E15" s="10" t="s">
        <v>12</v>
      </c>
      <c r="F15" s="10" t="s">
        <v>12</v>
      </c>
      <c r="G15" s="10" t="s">
        <v>12</v>
      </c>
      <c r="H15" s="10" t="s">
        <v>12</v>
      </c>
      <c r="I15" s="20" t="s">
        <v>11</v>
      </c>
      <c r="J15" s="20" t="s">
        <v>11</v>
      </c>
      <c r="K15" s="10" t="s">
        <v>12</v>
      </c>
      <c r="L15" s="10" t="s">
        <v>12</v>
      </c>
      <c r="M15" s="10"/>
      <c r="N15" s="10"/>
      <c r="O15" s="10"/>
    </row>
    <row r="16" spans="1:15" ht="30" customHeight="1" thickBot="1" x14ac:dyDescent="0.25">
      <c r="A16" s="24">
        <f t="shared" si="0"/>
        <v>11</v>
      </c>
      <c r="B16" s="27" t="s">
        <v>48</v>
      </c>
      <c r="C16" s="26" t="s">
        <v>44</v>
      </c>
      <c r="D16" s="20" t="s">
        <v>11</v>
      </c>
      <c r="E16" s="20" t="s">
        <v>11</v>
      </c>
      <c r="F16" s="20" t="s">
        <v>11</v>
      </c>
      <c r="G16" s="10" t="s">
        <v>15</v>
      </c>
      <c r="H16" s="10" t="s">
        <v>15</v>
      </c>
      <c r="I16" s="20" t="s">
        <v>11</v>
      </c>
      <c r="J16" s="10" t="s">
        <v>15</v>
      </c>
      <c r="K16" s="20" t="s">
        <v>11</v>
      </c>
      <c r="L16" s="10" t="s">
        <v>15</v>
      </c>
      <c r="M16" s="10"/>
      <c r="N16" s="10"/>
      <c r="O16" s="10"/>
    </row>
    <row r="17" spans="1:15" ht="15" customHeight="1" thickBot="1" x14ac:dyDescent="0.25">
      <c r="A17" s="24">
        <f t="shared" si="0"/>
        <v>12</v>
      </c>
      <c r="B17" s="25" t="s">
        <v>39</v>
      </c>
      <c r="C17" s="26" t="s">
        <v>43</v>
      </c>
      <c r="D17" s="10" t="s">
        <v>12</v>
      </c>
      <c r="E17" s="10" t="s">
        <v>12</v>
      </c>
      <c r="F17" s="10" t="s">
        <v>12</v>
      </c>
      <c r="G17" s="10" t="s">
        <v>12</v>
      </c>
      <c r="H17" s="10" t="s">
        <v>12</v>
      </c>
      <c r="I17" s="10" t="s">
        <v>12</v>
      </c>
      <c r="J17" s="10" t="s">
        <v>12</v>
      </c>
      <c r="K17" s="10" t="s">
        <v>12</v>
      </c>
      <c r="L17" s="10" t="s">
        <v>12</v>
      </c>
      <c r="M17" s="10"/>
      <c r="N17" s="10"/>
      <c r="O17" s="10"/>
    </row>
    <row r="18" spans="1:15" ht="30" customHeight="1" thickBot="1" x14ac:dyDescent="0.25">
      <c r="A18" s="28">
        <f t="shared" si="0"/>
        <v>13</v>
      </c>
      <c r="B18" s="29" t="s">
        <v>49</v>
      </c>
      <c r="C18" s="10" t="s">
        <v>43</v>
      </c>
      <c r="D18" s="10" t="s">
        <v>12</v>
      </c>
      <c r="E18" s="10" t="s">
        <v>12</v>
      </c>
      <c r="F18" s="10" t="s">
        <v>12</v>
      </c>
      <c r="G18" s="10" t="s">
        <v>12</v>
      </c>
      <c r="H18" s="20" t="s">
        <v>11</v>
      </c>
      <c r="I18" s="20" t="s">
        <v>11</v>
      </c>
      <c r="J18" s="10" t="s">
        <v>12</v>
      </c>
      <c r="K18" s="10" t="s">
        <v>12</v>
      </c>
      <c r="L18" s="10" t="s">
        <v>12</v>
      </c>
      <c r="M18" s="10"/>
      <c r="N18" s="10"/>
      <c r="O18" s="10"/>
    </row>
    <row r="19" spans="1:15" x14ac:dyDescent="0.2">
      <c r="A19" s="14"/>
      <c r="B19" s="21"/>
      <c r="C19" s="21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1:15" x14ac:dyDescent="0.2">
      <c r="A20" s="14"/>
      <c r="B20" s="21"/>
      <c r="C20" s="21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1:15" x14ac:dyDescent="0.2">
      <c r="B21" s="15" t="s">
        <v>29</v>
      </c>
      <c r="C21" s="15"/>
      <c r="D21" s="1" t="s">
        <v>15</v>
      </c>
      <c r="E21" s="1">
        <f>COUNTIF(D6:O18, "*Iza*")</f>
        <v>24</v>
      </c>
    </row>
    <row r="22" spans="1:15" x14ac:dyDescent="0.2">
      <c r="B22" s="15"/>
      <c r="D22" s="1" t="s">
        <v>7</v>
      </c>
      <c r="E22" s="1">
        <f>COUNTIF(D6:O18, "*LY*")</f>
        <v>28</v>
      </c>
    </row>
    <row r="23" spans="1:15" x14ac:dyDescent="0.2">
      <c r="D23" s="1" t="s">
        <v>12</v>
      </c>
      <c r="E23" s="1">
        <f>COUNTIF(D6:O18, "*YS*")</f>
        <v>24</v>
      </c>
    </row>
    <row r="24" spans="1:15" x14ac:dyDescent="0.2">
      <c r="B24" s="15"/>
      <c r="D24" s="1" t="s">
        <v>24</v>
      </c>
      <c r="E24" s="1">
        <f>COUNTIF(D6:O18, "*YEOH*")</f>
        <v>1</v>
      </c>
    </row>
    <row r="25" spans="1:15" x14ac:dyDescent="0.2">
      <c r="B25" s="17"/>
      <c r="C25" s="15"/>
      <c r="E25" s="1">
        <f>SUM(E21:E24)</f>
        <v>77</v>
      </c>
    </row>
    <row r="26" spans="1:15" x14ac:dyDescent="0.2">
      <c r="B26" s="1" t="s">
        <v>30</v>
      </c>
    </row>
    <row r="27" spans="1:15" x14ac:dyDescent="0.2">
      <c r="B27" s="15" t="s">
        <v>31</v>
      </c>
      <c r="C27" s="15"/>
    </row>
  </sheetData>
  <mergeCells count="15">
    <mergeCell ref="F4:F5"/>
    <mergeCell ref="A4:A5"/>
    <mergeCell ref="B4:B5"/>
    <mergeCell ref="C4:C5"/>
    <mergeCell ref="D4:D5"/>
    <mergeCell ref="E4:E5"/>
    <mergeCell ref="M4:M5"/>
    <mergeCell ref="N4:N5"/>
    <mergeCell ref="O4:O5"/>
    <mergeCell ref="G4:G5"/>
    <mergeCell ref="H4:H5"/>
    <mergeCell ref="I4:I5"/>
    <mergeCell ref="J4:J5"/>
    <mergeCell ref="K4:K5"/>
    <mergeCell ref="L4:L5"/>
  </mergeCells>
  <pageMargins left="0.7" right="0.7" top="0.75" bottom="0.75" header="0.3" footer="0.3"/>
  <pageSetup paperSize="9" scale="5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23"/>
  <sheetViews>
    <sheetView zoomScaleNormal="100" workbookViewId="0">
      <pane xSplit="2" topLeftCell="C1" activePane="topRight" state="frozen"/>
      <selection activeCell="E29" sqref="E29"/>
      <selection pane="topRight" activeCell="E29" sqref="E29"/>
    </sheetView>
  </sheetViews>
  <sheetFormatPr defaultColWidth="10.28515625" defaultRowHeight="13.5" x14ac:dyDescent="0.2"/>
  <cols>
    <col min="1" max="1" width="5.7109375" style="1" customWidth="1"/>
    <col min="2" max="2" width="41.5703125" style="1" customWidth="1"/>
    <col min="3" max="16384" width="10.28515625" style="1"/>
  </cols>
  <sheetData>
    <row r="2" spans="1:14" ht="15.75" x14ac:dyDescent="0.25">
      <c r="B2" s="2" t="s">
        <v>50</v>
      </c>
    </row>
    <row r="3" spans="1:14" ht="14.25" thickBot="1" x14ac:dyDescent="0.25"/>
    <row r="4" spans="1:14" x14ac:dyDescent="0.2">
      <c r="A4" s="32" t="s">
        <v>1</v>
      </c>
      <c r="B4" s="36" t="s">
        <v>2</v>
      </c>
      <c r="C4" s="34">
        <v>46023</v>
      </c>
      <c r="D4" s="34">
        <v>46054</v>
      </c>
      <c r="E4" s="34">
        <v>46082</v>
      </c>
      <c r="F4" s="34">
        <v>46113</v>
      </c>
      <c r="G4" s="34">
        <v>46143</v>
      </c>
      <c r="H4" s="34">
        <v>46174</v>
      </c>
      <c r="I4" s="34">
        <v>46204</v>
      </c>
      <c r="J4" s="34">
        <v>46235</v>
      </c>
      <c r="K4" s="34">
        <v>46266</v>
      </c>
      <c r="L4" s="34">
        <v>46296</v>
      </c>
      <c r="M4" s="34">
        <v>46327</v>
      </c>
      <c r="N4" s="34">
        <v>46357</v>
      </c>
    </row>
    <row r="5" spans="1:14" ht="14.25" thickBot="1" x14ac:dyDescent="0.25">
      <c r="A5" s="33"/>
      <c r="B5" s="33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</row>
    <row r="6" spans="1:14" ht="15" customHeight="1" thickBot="1" x14ac:dyDescent="0.25">
      <c r="A6" s="8">
        <v>1</v>
      </c>
      <c r="B6" s="19" t="s">
        <v>10</v>
      </c>
      <c r="C6" s="20" t="s">
        <v>11</v>
      </c>
      <c r="D6" s="20" t="s">
        <v>11</v>
      </c>
      <c r="E6" s="20" t="s">
        <v>11</v>
      </c>
      <c r="F6" s="20" t="s">
        <v>11</v>
      </c>
      <c r="G6" s="20" t="s">
        <v>11</v>
      </c>
      <c r="H6" s="20" t="s">
        <v>11</v>
      </c>
      <c r="I6" s="20" t="s">
        <v>11</v>
      </c>
      <c r="J6" s="30" t="s">
        <v>12</v>
      </c>
      <c r="K6" s="30" t="s">
        <v>12</v>
      </c>
      <c r="L6" s="31"/>
      <c r="M6" s="31"/>
      <c r="N6" s="10"/>
    </row>
    <row r="7" spans="1:14" ht="15" customHeight="1" thickBot="1" x14ac:dyDescent="0.25">
      <c r="A7" s="8">
        <v>2</v>
      </c>
      <c r="B7" s="19" t="s">
        <v>13</v>
      </c>
      <c r="C7" s="10" t="s">
        <v>7</v>
      </c>
      <c r="D7" s="10" t="s">
        <v>7</v>
      </c>
      <c r="E7" s="10" t="s">
        <v>7</v>
      </c>
      <c r="F7" s="10" t="s">
        <v>7</v>
      </c>
      <c r="G7" s="10" t="s">
        <v>7</v>
      </c>
      <c r="H7" s="10" t="s">
        <v>7</v>
      </c>
      <c r="I7" s="10" t="s">
        <v>7</v>
      </c>
      <c r="J7" s="10" t="s">
        <v>7</v>
      </c>
      <c r="K7" s="31"/>
      <c r="L7" s="31"/>
      <c r="M7" s="10"/>
      <c r="N7" s="10"/>
    </row>
    <row r="8" spans="1:14" ht="15" customHeight="1" thickBot="1" x14ac:dyDescent="0.25">
      <c r="A8" s="8">
        <v>3</v>
      </c>
      <c r="B8" s="19" t="s">
        <v>14</v>
      </c>
      <c r="C8" s="20" t="s">
        <v>11</v>
      </c>
      <c r="D8" s="20" t="s">
        <v>11</v>
      </c>
      <c r="E8" s="20" t="s">
        <v>11</v>
      </c>
      <c r="F8" s="20" t="s">
        <v>11</v>
      </c>
      <c r="G8" s="20" t="s">
        <v>11</v>
      </c>
      <c r="H8" s="20" t="s">
        <v>11</v>
      </c>
      <c r="I8" s="20" t="s">
        <v>11</v>
      </c>
      <c r="J8" s="20" t="s">
        <v>11</v>
      </c>
      <c r="K8" s="31"/>
      <c r="L8" s="31"/>
      <c r="M8" s="10"/>
      <c r="N8" s="10"/>
    </row>
    <row r="9" spans="1:14" ht="15" customHeight="1" thickBot="1" x14ac:dyDescent="0.25">
      <c r="A9" s="8">
        <v>4</v>
      </c>
      <c r="B9" s="19" t="s">
        <v>18</v>
      </c>
      <c r="C9" s="10" t="s">
        <v>15</v>
      </c>
      <c r="D9" s="10" t="s">
        <v>15</v>
      </c>
      <c r="E9" s="10" t="s">
        <v>15</v>
      </c>
      <c r="F9" s="10" t="s">
        <v>15</v>
      </c>
      <c r="G9" s="10" t="s">
        <v>15</v>
      </c>
      <c r="H9" s="10" t="s">
        <v>15</v>
      </c>
      <c r="I9" s="10" t="s">
        <v>15</v>
      </c>
      <c r="J9" s="10" t="s">
        <v>15</v>
      </c>
      <c r="K9" s="31"/>
      <c r="L9" s="31"/>
      <c r="M9" s="10"/>
      <c r="N9" s="10"/>
    </row>
    <row r="10" spans="1:14" ht="15" customHeight="1" thickBot="1" x14ac:dyDescent="0.25">
      <c r="A10" s="8">
        <v>5</v>
      </c>
      <c r="B10" s="19" t="s">
        <v>21</v>
      </c>
      <c r="C10" s="10" t="s">
        <v>7</v>
      </c>
      <c r="D10" s="10" t="s">
        <v>7</v>
      </c>
      <c r="E10" s="10" t="s">
        <v>7</v>
      </c>
      <c r="F10" s="10" t="s">
        <v>7</v>
      </c>
      <c r="G10" s="10" t="s">
        <v>7</v>
      </c>
      <c r="H10" s="10" t="s">
        <v>7</v>
      </c>
      <c r="I10" s="10" t="s">
        <v>7</v>
      </c>
      <c r="J10" s="10" t="s">
        <v>7</v>
      </c>
      <c r="K10" s="31"/>
      <c r="L10" s="31"/>
      <c r="M10" s="10"/>
      <c r="N10" s="10"/>
    </row>
    <row r="11" spans="1:14" ht="15" customHeight="1" thickBot="1" x14ac:dyDescent="0.25">
      <c r="A11" s="8">
        <v>6</v>
      </c>
      <c r="B11" s="19" t="s">
        <v>23</v>
      </c>
      <c r="C11" s="10" t="s">
        <v>12</v>
      </c>
      <c r="D11" s="10" t="s">
        <v>12</v>
      </c>
      <c r="E11" s="10" t="s">
        <v>12</v>
      </c>
      <c r="F11" s="10" t="s">
        <v>12</v>
      </c>
      <c r="G11" s="20" t="s">
        <v>11</v>
      </c>
      <c r="H11" s="20" t="s">
        <v>11</v>
      </c>
      <c r="I11" s="10" t="s">
        <v>12</v>
      </c>
      <c r="J11" s="10" t="s">
        <v>12</v>
      </c>
      <c r="K11" s="31"/>
      <c r="L11" s="31"/>
      <c r="M11" s="10"/>
      <c r="N11" s="10"/>
    </row>
    <row r="12" spans="1:14" ht="15" customHeight="1" thickBot="1" x14ac:dyDescent="0.25">
      <c r="A12" s="8">
        <v>7</v>
      </c>
      <c r="B12" s="19" t="s">
        <v>25</v>
      </c>
      <c r="C12" s="20" t="s">
        <v>11</v>
      </c>
      <c r="D12" s="20" t="s">
        <v>11</v>
      </c>
      <c r="E12" s="20" t="s">
        <v>11</v>
      </c>
      <c r="F12" s="10" t="s">
        <v>15</v>
      </c>
      <c r="G12" s="10" t="s">
        <v>15</v>
      </c>
      <c r="H12" s="10" t="s">
        <v>15</v>
      </c>
      <c r="I12" s="10" t="s">
        <v>15</v>
      </c>
      <c r="J12" s="10" t="s">
        <v>15</v>
      </c>
      <c r="K12" s="31"/>
      <c r="L12" s="31"/>
      <c r="M12" s="10"/>
      <c r="N12" s="10"/>
    </row>
    <row r="13" spans="1:14" ht="15" customHeight="1" thickBot="1" x14ac:dyDescent="0.25">
      <c r="A13" s="8">
        <v>8</v>
      </c>
      <c r="B13" s="19" t="s">
        <v>39</v>
      </c>
      <c r="C13" s="10" t="s">
        <v>12</v>
      </c>
      <c r="D13" s="10" t="s">
        <v>12</v>
      </c>
      <c r="E13" s="10" t="s">
        <v>12</v>
      </c>
      <c r="F13" s="10" t="s">
        <v>12</v>
      </c>
      <c r="G13" s="10" t="s">
        <v>12</v>
      </c>
      <c r="H13" s="10" t="s">
        <v>12</v>
      </c>
      <c r="I13" s="10" t="s">
        <v>12</v>
      </c>
      <c r="J13" s="10" t="s">
        <v>12</v>
      </c>
      <c r="K13" s="31"/>
      <c r="L13" s="31"/>
      <c r="M13" s="10"/>
      <c r="N13" s="10"/>
    </row>
    <row r="14" spans="1:14" ht="15" customHeight="1" thickBot="1" x14ac:dyDescent="0.25">
      <c r="A14" s="8">
        <v>9</v>
      </c>
      <c r="B14" s="19" t="s">
        <v>28</v>
      </c>
      <c r="C14" s="10" t="s">
        <v>12</v>
      </c>
      <c r="D14" s="10" t="s">
        <v>12</v>
      </c>
      <c r="E14" s="10" t="s">
        <v>12</v>
      </c>
      <c r="F14" s="10" t="s">
        <v>12</v>
      </c>
      <c r="G14" s="10" t="s">
        <v>12</v>
      </c>
      <c r="H14" s="10" t="s">
        <v>12</v>
      </c>
      <c r="I14" s="10" t="s">
        <v>12</v>
      </c>
      <c r="J14" s="10" t="s">
        <v>12</v>
      </c>
      <c r="K14" s="31"/>
      <c r="L14" s="31"/>
      <c r="M14" s="10"/>
      <c r="N14" s="10"/>
    </row>
    <row r="15" spans="1:14" x14ac:dyDescent="0.2">
      <c r="A15" s="14"/>
      <c r="B15" s="21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 spans="1:14" x14ac:dyDescent="0.2">
      <c r="A16" s="14"/>
      <c r="B16" s="21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  <row r="17" spans="2:4" x14ac:dyDescent="0.2">
      <c r="B17" s="15" t="s">
        <v>29</v>
      </c>
      <c r="C17" s="1" t="s">
        <v>15</v>
      </c>
      <c r="D17" s="1">
        <f>COUNTIF(C6:N14, "*Iza*")</f>
        <v>13</v>
      </c>
    </row>
    <row r="18" spans="2:4" x14ac:dyDescent="0.2">
      <c r="B18" s="15"/>
      <c r="C18" s="1" t="s">
        <v>7</v>
      </c>
      <c r="D18" s="1">
        <f>COUNTIF(C6:N14, "*LY*")</f>
        <v>16</v>
      </c>
    </row>
    <row r="19" spans="2:4" x14ac:dyDescent="0.2">
      <c r="C19" s="1" t="s">
        <v>12</v>
      </c>
      <c r="D19" s="1">
        <f>COUNTIF(C6:N14, "*YS*")</f>
        <v>24</v>
      </c>
    </row>
    <row r="20" spans="2:4" x14ac:dyDescent="0.2">
      <c r="B20" s="15"/>
      <c r="C20" s="1" t="s">
        <v>24</v>
      </c>
      <c r="D20" s="1">
        <f>COUNTIF(C6:N14, "*YEOH*")</f>
        <v>0</v>
      </c>
    </row>
    <row r="21" spans="2:4" x14ac:dyDescent="0.2">
      <c r="B21" s="17"/>
      <c r="D21" s="1">
        <f>SUM(D17:D20)</f>
        <v>53</v>
      </c>
    </row>
    <row r="22" spans="2:4" x14ac:dyDescent="0.2">
      <c r="B22" s="1" t="s">
        <v>30</v>
      </c>
    </row>
    <row r="23" spans="2:4" x14ac:dyDescent="0.2">
      <c r="B23" s="15" t="s">
        <v>31</v>
      </c>
    </row>
  </sheetData>
  <mergeCells count="14">
    <mergeCell ref="F4:F5"/>
    <mergeCell ref="A4:A5"/>
    <mergeCell ref="B4:B5"/>
    <mergeCell ref="C4:C5"/>
    <mergeCell ref="D4:D5"/>
    <mergeCell ref="E4:E5"/>
    <mergeCell ref="M4:M5"/>
    <mergeCell ref="N4:N5"/>
    <mergeCell ref="G4:G5"/>
    <mergeCell ref="H4:H5"/>
    <mergeCell ref="I4:I5"/>
    <mergeCell ref="J4:J5"/>
    <mergeCell ref="K4:K5"/>
    <mergeCell ref="L4:L5"/>
  </mergeCells>
  <pageMargins left="0.7" right="0.7" top="0.75" bottom="0.75" header="0.3" footer="0.3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1. ACC (SUMMARY)</vt:lpstr>
      <vt:lpstr>2. PAYROLL (SUMMARY)</vt:lpstr>
      <vt:lpstr>3. E-INV (SUMMARY)</vt:lpstr>
      <vt:lpstr>4. SST (SUMMARY)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PC11</dc:creator>
  <cp:lastModifiedBy>PC11</cp:lastModifiedBy>
  <dcterms:created xsi:type="dcterms:W3CDTF">2026-10-22T07:54:33Z</dcterms:created>
  <dcterms:modified xsi:type="dcterms:W3CDTF">2026-10-28T06:42:15Z</dcterms:modified>
</cp:coreProperties>
</file>
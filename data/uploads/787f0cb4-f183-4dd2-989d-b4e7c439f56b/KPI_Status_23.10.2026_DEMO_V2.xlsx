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a6ed33656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ACC (SUMMARY)" sheetId="1" r:id="Red5eac0312364e67"/>
    <x:sheet xmlns:r="http://schemas.openxmlformats.org/officeDocument/2006/relationships" name="2. PAYROLL (SUMMARY)" sheetId="2" r:id="R1f6c432c582448aa"/>
    <x:sheet xmlns:r="http://schemas.openxmlformats.org/officeDocument/2006/relationships" name="3. E-INV (SUMMARY)" sheetId="3" r:id="Rdb9a18f84d0440f9"/>
    <x:sheet xmlns:r="http://schemas.openxmlformats.org/officeDocument/2006/relationships" name="4. SST (SUMMARY)" sheetId="4" r:id="Re3cf362ce73640b8"/>
  </x:sheets>
</x:workbook>
</file>

<file path=xl/sharedStrings.xml><?xml version="1.0" encoding="utf-8"?>
<x:sst xmlns:x="http://schemas.openxmlformats.org/spreadsheetml/2006/main">
  <x:si>
    <x:t xml:space="preserve">ACCOUNTING REVIEW 2026 (SUMMARY)</x:t>
  </x:si>
  <x:si>
    <x:t xml:space="preserve">NO.</x:t>
  </x:si>
  <x:si>
    <x:t xml:space="preserve">COMPANY NAME </x:t>
  </x:si>
  <x:si>
    <x:t xml:space="preserve">MONTHLY STATUS</x:t>
  </x:si>
  <x:si>
    <x:t xml:space="preserve">BASIS</x:t>
  </x:si>
  <x:si>
    <x:t xml:space="preserve">ADEC GLOBAL (MALAYSIA) SDN BHD</x:t>
  </x:si>
  <x:si>
    <x:t xml:space="preserve">QUARTERLY</x:t>
  </x:si>
  <x:si>
    <x:t xml:space="preserve">LY</x:t>
  </x:si>
  <x:si>
    <x:t xml:space="preserve">BAGUSS ENTERPRISE SDN BHD</x:t>
  </x:si>
  <x:si>
    <x:t xml:space="preserve">MONTHLY</x:t>
  </x:si>
  <x:si>
    <x:t xml:space="preserve">CANPLUS INDUSTRIES SDN BHD</x:t>
  </x:si>
  <x:si>
    <x:t xml:space="preserve">-----</x:t>
  </x:si>
  <x:si>
    <x:t xml:space="preserve">YS</x:t>
  </x:si>
  <x:si>
    <x:t xml:space="preserve">COSAM ENTERPRISE</x:t>
  </x:si>
  <x:si>
    <x:t xml:space="preserve">GMAX ENGINEERING SDN BHD</x:t>
  </x:si>
  <x:si>
    <x:t xml:space="preserve">IZA</x:t>
  </x:si>
  <x:si>
    <x:t xml:space="preserve">GMAX HARTAMAS SDN BHD</x:t>
  </x:si>
  <x:si>
    <x:t xml:space="preserve">GMAX TECHNOLOGIES SDN BHD</x:t>
  </x:si>
  <x:si>
    <x:t xml:space="preserve">LASER ENGRAVE INDUSTRIES SDN BHD</x:t>
  </x:si>
  <x:si>
    <x:t xml:space="preserve">LUCKY TROPICAL FISH FARM</x:t>
  </x:si>
  <x:si>
    <x:t xml:space="preserve">1/2 YEARLY</x:t>
  </x:si>
  <x:si>
    <x:t xml:space="preserve">MAKMUR STEEL ENGINEERING SDN BHD</x:t>
  </x:si>
  <x:si>
    <x:t xml:space="preserve">MICRO PRECISION SDN BHD  </x:t>
  </x:si>
  <x:si>
    <x:t xml:space="preserve">ORIENTSYS TECHNOLOGY SDN BHD</x:t>
  </x:si>
  <x:si>
    <x:t xml:space="preserve">YEOH</x:t>
  </x:si>
  <x:si>
    <x:t xml:space="preserve">TIMOTHY ENGINEERING</x:t>
  </x:si>
  <x:si>
    <x:t xml:space="preserve">TREASURE HUNTER HOTEL PLT</x:t>
  </x:si>
  <x:si>
    <x:t xml:space="preserve">VALUED SYSTEM ADVISOR SDN BHD</x:t>
  </x:si>
  <x:si>
    <x:t xml:space="preserve">ZHANG HUNG ENGINEERING SDN BHD</x:t>
  </x:si>
  <x:si>
    <x:t xml:space="preserve">Reviewed By :</x:t>
  </x:si>
  <x:si>
    <x:t xml:space="preserve">CHAY SEONG CHENG </x:t>
  </x:si>
  <x:si>
    <x:t xml:space="preserve">Date :</x:t>
  </x:si>
  <x:si>
    <x:t xml:space="preserve">PAYROLL REVIEW 2026 (SUMMARY)</x:t>
  </x:si>
  <x:si>
    <x:t xml:space="preserve">BAGUSS ENTERPRISE SDN BHD + e-PCB</x:t>
  </x:si>
  <x:si>
    <x:t xml:space="preserve">BEUKITCH CABINET SDN BHD + e-PCB</x:t>
  </x:si>
  <x:si>
    <x:t xml:space="preserve">CANPLUS INDUSTRIES SDN BHD + e-PCB</x:t>
  </x:si>
  <x:si>
    <x:t xml:space="preserve">GMAX ENGINEERING SDN BHD + e-PCB</x:t>
  </x:si>
  <x:si>
    <x:t xml:space="preserve">GMAX TECHNOLOGIES SDN BHD + e-PCB</x:t>
  </x:si>
  <x:si>
    <x:t xml:space="preserve">MAKMUR STEEL ENGINEERING S/B + e-PCB</x:t>
  </x:si>
  <x:si>
    <x:t xml:space="preserve">VALUED SYSTEM ADVISORY SDN BHD</x:t>
  </x:si>
  <x:si>
    <x:t xml:space="preserve">ZHANG HUNG ENGINEERING SDN BHD + e-PCB</x:t>
  </x:si>
  <x:si>
    <x:t xml:space="preserve">E-INVOICE REVIEW 2026 (SUMMARY)</x:t>
  </x:si>
  <x:si>
    <x:t xml:space="preserve">IMPLEMENTATION DATE</x:t>
  </x:si>
  <x:si>
    <x:t xml:space="preserve">01.07.2025</x:t>
  </x:si>
  <x:si>
    <x:t xml:space="preserve">01.01.2026</x:t>
  </x:si>
  <x:si>
    <x:t xml:space="preserve">JW</x:t>
  </x:si>
  <x:si>
    <x:r>
      <x:t xml:space="preserve">LASER ENGRAVE INDUSTRIES SDN BHD                                 </x:t>
    </x:r>
    <x:r>
      <x:rPr>
        <x:b/>
        <x:sz val="10.5"/>
        <x:rFont val="Times New Roman"/>
        <x:family val="1"/>
      </x:rPr>
      <x:t xml:space="preserve">Self-Billed</x:t>
    </x:r>
  </x:si>
  <x:si>
    <x:r>
      <x:t xml:space="preserve">MAKMUR STEEL ENGINEERING SDN BHD                                </x:t>
    </x:r>
    <x:r>
      <x:rPr>
        <x:b/>
        <x:sz val="10.5"/>
        <x:rFont val="Times New Roman"/>
        <x:family val="1"/>
      </x:rPr>
      <x:t xml:space="preserve">Self-Billed</x:t>
    </x:r>
  </x:si>
  <x:si>
    <x:r>
      <x:t xml:space="preserve">MICRO PRECISION SDN BHD                            </x:t>
    </x:r>
    <x:r>
      <x:rPr>
        <x:b/>
        <x:sz val="10.5"/>
        <x:rFont val="Times New Roman"/>
        <x:family val="1"/>
      </x:rPr>
      <x:t xml:space="preserve">Self-Billed</x:t>
    </x:r>
  </x:si>
  <x:si>
    <x:r>
      <x:t xml:space="preserve">ORIENTSYS TECHNOLOGY SDN BHD                           </x:t>
    </x:r>
    <x:r>
      <x:rPr>
        <x:b/>
        <x:sz val="10.5"/>
        <x:rFont val="Times New Roman"/>
        <x:family val="1"/>
      </x:rPr>
      <x:t xml:space="preserve">Self-Billed</x:t>
    </x:r>
  </x:si>
  <x:si>
    <x:r>
      <x:t xml:space="preserve">VALUED SYSTEM ADVISORY SDN BHD                           </x:t>
    </x:r>
    <x:r>
      <x:rPr>
        <x:b/>
        <x:sz val="10.5"/>
        <x:rFont val="Times New Roman"/>
        <x:family val="1"/>
      </x:rPr>
      <x:t xml:space="preserve">Self-Billed</x:t>
    </x:r>
  </x:si>
  <x:si>
    <x:t xml:space="preserve">SST REVIEW 2026 (SUMMARY)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</x:si>
</x:sst>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0.5"/>
      <x:name val="Times New Roman"/>
    </x:font>
    <x:font>
      <x:b/>
      <x:sz val="12"/>
      <x:name val="Times New Roman"/>
    </x:font>
    <x:font>
      <x:b/>
      <x:sz val="10.5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theme="0" tint="-0.15"/>
      </x:patternFill>
    </x:fill>
    <x:fill>
      <x:patternFill patternType="solid">
        <x:fgColor theme="7" tint="0.39998"/>
      </x:patternFill>
    </x:fill>
  </x:fills>
  <x:borders count="8">
    <x:border/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center"/>
    </x:xf>
    <x:xf numFmtId="0" fontId="3" fillId="2" borderId="1" xfId="0" applyFont="1" applyFill="1" applyBorder="1" applyAlignment="1">
      <x:alignment horizontal="center"/>
    </x:xf>
    <x:xf numFmtId="0" fontId="3" fillId="2" borderId="2" xfId="0" applyFont="1" applyFill="1" applyBorder="1"/>
    <x:xf numFmtId="0" fontId="3" fillId="2" borderId="3" xfId="0" applyFont="1" applyFill="1" applyBorder="1"/>
    <x:xf numFmtId="0" fontId="3" fillId="0" borderId="0" xfId="0" applyFont="1"/>
    <x:xf numFmtId="0" fontId="3" fillId="2" borderId="4" xfId="0" applyFont="1" applyFill="1" applyBorder="1" applyAlignment="1">
      <x:alignment horizontal="center"/>
    </x:xf>
    <x:xf numFmtId="0" fontId="3" fillId="2" borderId="4" xfId="0" applyFont="1" applyFill="1" applyBorder="1" applyAlignment="1">
      <x:alignment horizontal="center"/>
    </x:xf>
    <x:xf numFmtId="17" fontId="3" fillId="2" borderId="1" xfId="0" applyNumberFormat="1" applyFont="1" applyFill="1" applyBorder="1" applyAlignment="1">
      <x:alignment horizontal="center"/>
    </x:xf>
    <x:xf numFmtId="0" fontId="3" fillId="0" borderId="4" xfId="0" applyFont="1" applyBorder="1" applyAlignment="1">
      <x:alignment horizontal="center" vertical="top"/>
    </x:xf>
    <x:xf numFmtId="0" fontId="1" fillId="0" borderId="4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top"/>
    </x:xf>
    <x:xf numFmtId="0" fontId="1" fillId="0" borderId="0" xfId="0" applyFont="1" applyBorder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0" fontId="1" fillId="0" borderId="0" xfId="0" applyFont="1" applyAlignment="1">
      <x:alignment horizontal="center" vertical="center"/>
    </x:xf>
    <x:xf numFmtId="0" fontId="3" fillId="0" borderId="6" xfId="0" applyFont="1" applyBorder="1" applyAlignment="1">
      <x:alignment horizontal="left"/>
    </x:xf>
    <x:xf numFmtId="0" fontId="3" fillId="0" borderId="0" xfId="0" applyFont="1" applyBorder="1" applyAlignment="1">
      <x:alignment horizontal="left"/>
    </x:xf>
    <x:xf numFmtId="0" fontId="1" fillId="0" borderId="4" xfId="0" applyFont="1" applyBorder="1" applyAlignment="1">
      <x:alignment horizontal="center" vertical="top"/>
    </x:xf>
    <x:xf numFmtId="0" fontId="1" fillId="3" borderId="5" xfId="0" applyFont="1" applyFill="1" applyBorder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3" fillId="2" borderId="7" xfId="0" applyFont="1" applyFill="1" applyBorder="1" applyAlignment="1">
      <x:alignment horizontal="center"/>
    </x:xf>
    <x:xf numFmtId="0" fontId="3" fillId="2" borderId="1" xfId="0" applyFont="1" applyFill="1" applyBorder="1" applyAlignment="1">
      <x:alignment horizontal="center" wrapText="1"/>
    </x:xf>
    <x:xf numFmtId="17" fontId="3" fillId="2" borderId="1" xfId="0" applyNumberFormat="1" applyFont="1" applyFill="1" applyBorder="1" applyAlignment="1">
      <x:alignment horizontal="center"/>
    </x:xf>
    <x:xf numFmtId="0" fontId="1" fillId="0" borderId="0" xfId="0" applyFont="1" applyFill="1"/>
    <x:xf numFmtId="0" fontId="3" fillId="2" borderId="4" xfId="0" applyFont="1" applyFill="1" applyBorder="1" applyAlignment="1">
      <x:alignment horizontal="center" wrapText="1"/>
    </x:xf>
    <x:xf numFmtId="17" fontId="3" fillId="2" borderId="4" xfId="0" applyNumberFormat="1" applyFont="1" applyFill="1" applyBorder="1" applyAlignment="1">
      <x:alignment horizontal="center"/>
    </x:xf>
    <x:xf numFmtId="0" fontId="3" fillId="0" borderId="1" xfId="0" applyFont="1" applyBorder="1" applyAlignment="1">
      <x:alignment horizontal="center" vertical="top"/>
    </x:xf>
    <x:xf numFmtId="0" fontId="1" fillId="0" borderId="1" xfId="0" applyFont="1" applyBorder="1" applyAlignment="1">
      <x:alignment horizontal="center" vertical="top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top" wrapText="1"/>
    </x:xf>
    <x:xf numFmtId="0" fontId="3" fillId="0" borderId="5" xfId="0" applyFont="1" applyBorder="1" applyAlignment="1">
      <x:alignment horizontal="center" vertical="top"/>
    </x:xf>
    <x:xf numFmtId="0" fontId="1" fillId="0" borderId="5" xfId="0" applyFont="1" applyBorder="1" applyAlignment="1">
      <x:alignment horizontal="center" vertical="top" wrapText="1"/>
    </x:xf>
    <x:xf numFmtId="0" fontId="1" fillId="0" borderId="5" xfId="0" applyFont="1" applyFill="1" applyBorder="1" applyAlignment="1">
      <x:alignment horizontal="center" vertical="center"/>
    </x:xf>
    <x:xf numFmtId="0" fontId="1" fillId="4" borderId="5" xfId="0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776e5377d44c4" /><Relationship Type="http://schemas.openxmlformats.org/officeDocument/2006/relationships/theme" Target="/xl/theme/theme1.xml" Id="R01afe806ba324bac" /><Relationship Type="http://schemas.openxmlformats.org/officeDocument/2006/relationships/sharedStrings" Target="/xl/sharedStrings.xml" Id="R3ca7d6ebe2bd4550" /><Relationship Type="http://schemas.openxmlformats.org/officeDocument/2006/relationships/worksheet" Target="/xl/worksheets/sheet1.xml" Id="Red5eac0312364e67" /><Relationship Type="http://schemas.openxmlformats.org/officeDocument/2006/relationships/worksheet" Target="/xl/worksheets/sheet2.xml" Id="R1f6c432c582448aa" /><Relationship Type="http://schemas.openxmlformats.org/officeDocument/2006/relationships/worksheet" Target="/xl/worksheets/sheet3.xml" Id="Rdb9a18f84d0440f9" /><Relationship Type="http://schemas.openxmlformats.org/officeDocument/2006/relationships/worksheet" Target="/xl/worksheets/sheet4.xml" Id="Re3cf362ce73640b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topLeftCell="C1" activePane="topRight" state="frozen"/>
    </x:sheetView>
  </x:sheetViews>
  <x:sheetFormatPr defaultColWidth="10.28515625" defaultRowHeight="15"/>
  <x:cols>
    <x:col min="1" max="1" width="5.7109375" style="1" customWidth="1"/>
    <x:col min="2" max="2" width="43.7109375" style="1" customWidth="1"/>
    <x:col min="3" max="3" width="17" style="1" customWidth="1"/>
    <x:col min="4" max="8" width="10.28515625" style="1" customWidth="0"/>
    <x:col min="10" max="16384" width="10.28515625" style="1" customWidth="0"/>
  </x:cols>
  <x:sheetData>
    <x:row r="2" ht="15.75">
      <x:c r="B2" s="2" t="s">
        <x:v>0</x:v>
      </x:c>
      <x:c r="C2" s="2"/>
    </x:row>
    <x:row r="3" ht="15.75"/>
    <x:row r="4" ht="15.75">
      <x:c r="A4" s="3" t="s">
        <x:v>1</x:v>
      </x:c>
      <x:c r="B4" s="3" t="s">
        <x:v>2</x:v>
      </x:c>
      <x:c r="C4" s="4"/>
      <x:c r="D4" s="5" t="s">
        <x:v>3</x:v>
      </x:c>
      <x:c r="E4" s="6"/>
      <x:c r="F4" s="7"/>
      <x:c r="G4" s="7"/>
      <x:c r="H4" s="7"/>
      <x:c r="J4" s="7"/>
      <x:c r="K4" s="7"/>
      <x:c r="L4" s="7"/>
      <x:c r="M4" s="7"/>
      <x:c r="N4" s="7"/>
      <x:c r="O4" s="7"/>
      <x:c r="P4" s="7"/>
    </x:row>
    <x:row r="5" ht="19.5" customHeight="1">
      <x:c r="A5" s="8"/>
      <x:c r="B5" s="8"/>
      <x:c r="C5" s="9" t="s">
        <x:v>4</x:v>
      </x:c>
      <x:c r="D5" s="10">
        <x:v>46023</x:v>
      </x:c>
      <x:c r="E5" s="10">
        <x:v>46054</x:v>
      </x:c>
      <x:c r="F5" s="10">
        <x:v>46082</x:v>
      </x:c>
      <x:c r="G5" s="10">
        <x:v>46113</x:v>
      </x:c>
      <x:c r="H5" s="10">
        <x:v>46143</x:v>
      </x:c>
      <x:c r="I5" s="10">
        <x:v>46174</x:v>
      </x:c>
      <x:c r="J5" s="10">
        <x:v>46204</x:v>
      </x:c>
      <x:c r="K5" s="10">
        <x:v>46235</x:v>
      </x:c>
      <x:c r="L5" s="10">
        <x:v>46266</x:v>
      </x:c>
      <x:c r="M5" s="10">
        <x:v>46296</x:v>
      </x:c>
      <x:c r="N5" s="10">
        <x:v>46327</x:v>
      </x:c>
      <x:c r="O5" s="10">
        <x:v>46357</x:v>
      </x:c>
    </x:row>
    <x:row r="6" ht="15" customHeight="1">
      <x:c r="A6" s="11">
        <x:v>1</x:v>
      </x:c>
      <x:c r="B6" s="12" t="s">
        <x:v>5</x:v>
      </x:c>
      <x:c r="C6" s="13" t="s">
        <x:v>6</x:v>
      </x:c>
      <x:c r="D6" s="13" t="s">
        <x:v>7</x:v>
      </x:c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</x:row>
    <x:row r="7" ht="15" customHeight="1">
      <x:c r="A7" s="11" t="n">
        <x:f>A6+1</x:f>
        <x:v>2</x:v>
      </x:c>
      <x:c r="B7" s="12" t="s">
        <x:v>8</x:v>
      </x:c>
      <x:c r="C7" s="12" t="s">
        <x:v>9</x:v>
      </x:c>
      <x:c r="D7" s="13" t="s">
        <x:v>7</x:v>
      </x:c>
      <x:c r="E7" s="13" t="s">
        <x:v>7</x:v>
      </x:c>
      <x:c r="F7" s="13" t="s">
        <x:v>7</x:v>
      </x:c>
      <x:c r="G7" s="13" t="s">
        <x:v>7</x:v>
      </x:c>
      <x:c r="H7" s="13" t="s">
        <x:v>7</x:v>
      </x:c>
      <x:c r="I7" s="13"/>
      <x:c r="J7" s="13"/>
      <x:c r="K7" s="13"/>
      <x:c r="L7" s="13" t="str">
        <x:v>IZA</x:v>
      </x:c>
      <x:c r="M7" s="13" t="str">
        <x:v>LY</x:v>
      </x:c>
      <x:c r="N7" s="13"/>
      <x:c r="O7" s="13"/>
    </x:row>
    <x:row r="8" ht="15" customHeight="1">
      <x:c r="A8" s="11" t="n">
        <x:f>A7+1</x:f>
        <x:v>3</x:v>
      </x:c>
      <x:c r="B8" s="12" t="s">
        <x:v>10</x:v>
      </x:c>
      <x:c r="C8" s="12" t="s">
        <x:v>9</x:v>
      </x:c>
      <x:c r="D8" s="14" t="s">
        <x:v>11</x:v>
      </x:c>
      <x:c r="E8" s="14" t="s">
        <x:v>11</x:v>
      </x:c>
      <x:c r="F8" s="14" t="s">
        <x:v>11</x:v>
      </x:c>
      <x:c r="G8" s="13" t="s">
        <x:v>12</x:v>
      </x:c>
      <x:c r="H8" s="13" t="s">
        <x:v>12</x:v>
      </x:c>
      <x:c r="I8" s="13" t="s">
        <x:v>12</x:v>
      </x:c>
      <x:c r="J8" s="13" t="s">
        <x:v>12</x:v>
      </x:c>
      <x:c r="K8" s="13" t="s">
        <x:v>12</x:v>
      </x:c>
      <x:c r="L8" s="13" t="str">
        <x:v>LY</x:v>
      </x:c>
      <x:c r="M8" s="13" t="str">
        <x:v>YS</x:v>
      </x:c>
      <x:c r="N8" s="13"/>
      <x:c r="O8" s="13"/>
    </x:row>
    <x:row r="9" ht="15" customHeight="1">
      <x:c r="A9" s="11" t="n">
        <x:f t="shared" ref="A9:A21" si="0">A8+1</x:f>
        <x:v>4</x:v>
      </x:c>
      <x:c r="B9" s="12" t="s">
        <x:v>13</x:v>
      </x:c>
      <x:c r="C9" s="13" t="s">
        <x:v>6</x:v>
      </x:c>
      <x:c r="D9" s="13" t="s">
        <x:v>7</x:v>
      </x:c>
      <x:c r="E9" s="13" t="s">
        <x:v>7</x:v>
      </x:c>
      <x:c r="F9" s="13" t="s">
        <x:v>7</x:v>
      </x:c>
      <x:c r="G9" s="13" t="s">
        <x:v>7</x:v>
      </x:c>
      <x:c r="H9" s="13" t="s">
        <x:v>7</x:v>
      </x:c>
      <x:c r="I9" s="13" t="s">
        <x:v>7</x:v>
      </x:c>
      <x:c r="J9" s="13" t="s">
        <x:v>7</x:v>
      </x:c>
      <x:c r="K9" s="13" t="s">
        <x:v>7</x:v>
      </x:c>
      <x:c r="L9" s="13" t="s">
        <x:v>7</x:v>
      </x:c>
      <x:c r="M9" s="14" t="s">
        <x:v>11</x:v>
      </x:c>
      <x:c r="N9" s="14" t="s">
        <x:v>11</x:v>
      </x:c>
      <x:c r="O9" s="14" t="s">
        <x:v>11</x:v>
      </x:c>
    </x:row>
    <x:row r="10" ht="15" customHeight="1">
      <x:c r="A10" s="11">
        <x:f t="shared" si="0"/>
        <x:v>5</x:v>
      </x:c>
      <x:c r="B10" s="12" t="s">
        <x:v>14</x:v>
      </x:c>
      <x:c r="C10" s="12" t="s">
        <x:v>9</x:v>
      </x:c>
      <x:c r="D10" s="13" t="s">
        <x:v>15</x:v>
      </x:c>
      <x:c r="E10" s="13" t="s">
        <x:v>15</x:v>
      </x:c>
      <x:c r="F10" s="13" t="s">
        <x:v>15</x:v>
      </x:c>
      <x:c r="G10" s="13" t="s">
        <x:v>15</x:v>
      </x:c>
      <x:c r="H10" s="13" t="s">
        <x:v>15</x:v>
      </x:c>
      <x:c r="I10" s="13" t="s">
        <x:v>15</x:v>
      </x:c>
      <x:c r="J10" s="13" t="s">
        <x:v>15</x:v>
      </x:c>
      <x:c r="K10" s="13" t="s">
        <x:v>15</x:v>
      </x:c>
      <x:c r="L10" s="13" t="str">
        <x:v>YS</x:v>
      </x:c>
      <x:c r="M10" s="13" t="str">
        <x:v>IZA</x:v>
      </x:c>
      <x:c r="N10" s="13"/>
      <x:c r="O10" s="13"/>
    </x:row>
    <x:row r="11" ht="15" customHeight="1">
      <x:c r="A11" s="11">
        <x:f t="shared" si="0"/>
        <x:v>6</x:v>
      </x:c>
      <x:c r="B11" s="12" t="s">
        <x:v>16</x:v>
      </x:c>
      <x:c r="C11" s="13" t="s">
        <x:v>6</x:v>
      </x:c>
      <x:c r="D11" s="13" t="s">
        <x:v>15</x:v>
      </x:c>
      <x:c r="E11" s="13" t="s">
        <x:v>15</x:v>
      </x:c>
      <x:c r="F11" s="13" t="s">
        <x:v>15</x:v>
      </x:c>
      <x:c r="G11" s="13" t="s">
        <x:v>15</x:v>
      </x:c>
      <x:c r="H11" s="13" t="s">
        <x:v>15</x:v>
      </x:c>
      <x:c r="I11" s="13" t="s">
        <x:v>15</x:v>
      </x:c>
      <x:c r="J11" s="13"/>
      <x:c r="K11" s="13"/>
      <x:c r="L11" s="13"/>
      <x:c r="M11" s="13"/>
      <x:c r="N11" s="13"/>
      <x:c r="O11" s="13"/>
    </x:row>
    <x:row r="12" ht="15" customHeight="1">
      <x:c r="A12" s="11">
        <x:f t="shared" si="0"/>
        <x:v>7</x:v>
      </x:c>
      <x:c r="B12" s="12" t="s">
        <x:v>17</x:v>
      </x:c>
      <x:c r="C12" s="12" t="s">
        <x:v>9</x:v>
      </x:c>
      <x:c r="D12" s="13" t="s">
        <x:v>15</x:v>
      </x:c>
      <x:c r="E12" s="13" t="s">
        <x:v>15</x:v>
      </x:c>
      <x:c r="F12" s="13" t="s">
        <x:v>15</x:v>
      </x:c>
      <x:c r="G12" s="13" t="s">
        <x:v>15</x:v>
      </x:c>
      <x:c r="H12" s="13" t="s">
        <x:v>15</x:v>
      </x:c>
      <x:c r="I12" s="13" t="s">
        <x:v>15</x:v>
      </x:c>
      <x:c r="J12" s="13" t="s">
        <x:v>15</x:v>
      </x:c>
      <x:c r="K12" s="13" t="s">
        <x:v>15</x:v>
      </x:c>
      <x:c r="L12" s="13" t="str">
        <x:v>LY</x:v>
      </x:c>
      <x:c r="M12" s="13"/>
      <x:c r="N12" s="13"/>
      <x:c r="O12" s="13"/>
    </x:row>
    <x:row r="13" ht="15" customHeight="1">
      <x:c r="A13" s="11">
        <x:f t="shared" si="0"/>
        <x:v>8</x:v>
      </x:c>
      <x:c r="B13" s="12" t="s">
        <x:v>18</x:v>
      </x:c>
      <x:c r="C13" s="12" t="s">
        <x:v>9</x:v>
      </x:c>
      <x:c r="D13" s="13" t="s">
        <x:v>7</x:v>
      </x:c>
      <x:c r="E13" s="13" t="s">
        <x:v>7</x:v>
      </x:c>
      <x:c r="F13" s="13" t="s">
        <x:v>7</x:v>
      </x:c>
      <x:c r="G13" s="13" t="s">
        <x:v>7</x:v>
      </x:c>
      <x:c r="H13" s="13" t="s">
        <x:v>7</x:v>
      </x:c>
      <x:c r="I13" s="13" t="s">
        <x:v>7</x:v>
      </x:c>
      <x:c r="J13" s="13" t="s">
        <x:v>7</x:v>
      </x:c>
      <x:c r="K13" s="13" t="s">
        <x:v>7</x:v>
      </x:c>
      <x:c r="L13" s="13" t="str">
        <x:v>IZA</x:v>
      </x:c>
      <x:c r="M13" s="13"/>
      <x:c r="N13" s="13"/>
      <x:c r="O13" s="13"/>
    </x:row>
    <x:row r="14" ht="15" customHeight="1">
      <x:c r="A14" s="11">
        <x:f t="shared" si="0"/>
        <x:v>9</x:v>
      </x:c>
      <x:c r="B14" s="12" t="s">
        <x:v>19</x:v>
      </x:c>
      <x:c r="C14" s="13" t="s">
        <x:v>20</x:v>
      </x:c>
      <x:c r="D14" s="13" t="s">
        <x:v>7</x:v>
      </x:c>
      <x:c r="E14" s="13" t="s">
        <x:v>7</x:v>
      </x:c>
      <x:c r="F14" s="13" t="s">
        <x:v>7</x:v>
      </x:c>
      <x:c r="G14" s="13" t="s">
        <x:v>7</x:v>
      </x:c>
      <x:c r="H14" s="13" t="s">
        <x:v>7</x:v>
      </x:c>
      <x:c r="I14" s="13" t="s">
        <x:v>7</x:v>
      </x:c>
      <x:c r="J14" s="13" t="s">
        <x:v>7</x:v>
      </x:c>
      <x:c r="K14" s="13" t="s">
        <x:v>7</x:v>
      </x:c>
      <x:c r="L14" s="13" t="s">
        <x:v>7</x:v>
      </x:c>
      <x:c r="M14" s="13"/>
      <x:c r="N14" s="13"/>
      <x:c r="O14" s="13"/>
    </x:row>
    <x:row r="15" ht="15" customHeight="1">
      <x:c r="A15" s="11">
        <x:f t="shared" si="0"/>
        <x:v>10</x:v>
      </x:c>
      <x:c r="B15" s="12" t="s">
        <x:v>21</x:v>
      </x:c>
      <x:c r="C15" s="12" t="s">
        <x:v>9</x:v>
      </x:c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</x:row>
    <x:row r="16" ht="15" customHeight="1">
      <x:c r="A16" s="11">
        <x:f t="shared" si="0"/>
        <x:v>11</x:v>
      </x:c>
      <x:c r="B16" s="12" t="s">
        <x:v>22</x:v>
      </x:c>
      <x:c r="C16" s="13" t="s">
        <x:v>6</x:v>
      </x:c>
      <x:c r="D16" s="13" t="s">
        <x:v>12</x:v>
      </x:c>
      <x:c r="E16" s="13" t="s">
        <x:v>12</x:v>
      </x:c>
      <x:c r="F16" s="13" t="s">
        <x:v>12</x:v>
      </x:c>
      <x:c r="G16" s="13" t="s">
        <x:v>12</x:v>
      </x:c>
      <x:c r="H16" s="13" t="s">
        <x:v>12</x:v>
      </x:c>
      <x:c r="I16" s="13"/>
      <x:c r="J16" s="13"/>
      <x:c r="K16" s="13"/>
      <x:c r="L16" s="13"/>
      <x:c r="M16" s="13"/>
      <x:c r="N16" s="13"/>
      <x:c r="O16" s="13"/>
    </x:row>
    <x:row r="17" ht="15" customHeight="1">
      <x:c r="A17" s="11">
        <x:f t="shared" si="0"/>
        <x:v>12</x:v>
      </x:c>
      <x:c r="B17" s="12" t="s">
        <x:v>23</x:v>
      </x:c>
      <x:c r="C17" s="12" t="s">
        <x:v>9</x:v>
      </x:c>
      <x:c r="D17" s="14" t="s">
        <x:v>11</x:v>
      </x:c>
      <x:c r="E17" s="14" t="s">
        <x:v>11</x:v>
      </x:c>
      <x:c r="F17" s="14" t="s">
        <x:v>11</x:v>
      </x:c>
      <x:c r="G17" s="14" t="s">
        <x:v>11</x:v>
      </x:c>
      <x:c r="H17" s="13" t="s">
        <x:v>24</x:v>
      </x:c>
      <x:c r="I17" s="13" t="s">
        <x:v>24</x:v>
      </x:c>
      <x:c r="J17" s="13" t="s">
        <x:v>24</x:v>
      </x:c>
      <x:c r="K17" s="13" t="s">
        <x:v>24</x:v>
      </x:c>
      <x:c r="L17" s="13" t="s">
        <x:v>24</x:v>
      </x:c>
      <x:c r="M17" s="13"/>
      <x:c r="N17" s="13"/>
      <x:c r="O17" s="13"/>
    </x:row>
    <x:row r="18" ht="15" customHeight="1">
      <x:c r="A18" s="11">
        <x:f t="shared" si="0"/>
        <x:v>13</x:v>
      </x:c>
      <x:c r="B18" s="12" t="s">
        <x:v>25</x:v>
      </x:c>
      <x:c r="C18" s="12" t="s">
        <x:v>9</x:v>
      </x:c>
      <x:c r="D18" s="13" t="s">
        <x:v>15</x:v>
      </x:c>
      <x:c r="E18" s="13" t="s">
        <x:v>15</x:v>
      </x:c>
      <x:c r="F18" s="13" t="s">
        <x:v>15</x:v>
      </x:c>
      <x:c r="G18" s="13" t="s">
        <x:v>15</x:v>
      </x:c>
      <x:c r="H18" s="13" t="s">
        <x:v>15</x:v>
      </x:c>
      <x:c r="I18" s="13" t="s">
        <x:v>15</x:v>
      </x:c>
      <x:c r="J18" s="13" t="s">
        <x:v>15</x:v>
      </x:c>
      <x:c r="K18" s="13" t="s">
        <x:v>15</x:v>
      </x:c>
      <x:c r="L18" s="13" t="s">
        <x:v>15</x:v>
      </x:c>
      <x:c r="M18" s="13"/>
      <x:c r="N18" s="13"/>
      <x:c r="O18" s="13"/>
    </x:row>
    <x:row r="19" ht="15" customHeight="1">
      <x:c r="A19" s="11">
        <x:f t="shared" si="0"/>
        <x:v>14</x:v>
      </x:c>
      <x:c r="B19" s="12" t="s">
        <x:v>26</x:v>
      </x:c>
      <x:c r="C19" s="13" t="s">
        <x:v>6</x:v>
      </x:c>
      <x:c r="D19" s="13" t="s">
        <x:v>12</x:v>
      </x:c>
      <x:c r="E19" s="13" t="s">
        <x:v>12</x:v>
      </x:c>
      <x:c r="F19" s="13" t="s">
        <x:v>12</x:v>
      </x:c>
      <x:c r="G19" s="13" t="s">
        <x:v>12</x:v>
      </x:c>
      <x:c r="H19" s="13" t="s">
        <x:v>12</x:v>
      </x:c>
      <x:c r="I19" s="13" t="s">
        <x:v>12</x:v>
      </x:c>
      <x:c r="J19" s="13" t="s">
        <x:v>12</x:v>
      </x:c>
      <x:c r="K19" s="13"/>
      <x:c r="L19" s="13"/>
      <x:c r="M19" s="13"/>
      <x:c r="N19" s="13"/>
      <x:c r="O19" s="13"/>
    </x:row>
    <x:row r="20" ht="15" customHeight="1">
      <x:c r="A20" s="11">
        <x:f t="shared" si="0"/>
        <x:v>15</x:v>
      </x:c>
      <x:c r="B20" s="12" t="s">
        <x:v>27</x:v>
      </x:c>
      <x:c r="C20" s="12" t="s">
        <x:v>9</x:v>
      </x:c>
      <x:c r="D20" s="13" t="s">
        <x:v>12</x:v>
      </x:c>
      <x:c r="E20" s="13" t="s">
        <x:v>12</x:v>
      </x:c>
      <x:c r="F20" s="13" t="s">
        <x:v>12</x:v>
      </x:c>
      <x:c r="G20" s="13" t="s">
        <x:v>12</x:v>
      </x:c>
      <x:c r="H20" s="13" t="s">
        <x:v>12</x:v>
      </x:c>
      <x:c r="I20" s="13" t="s">
        <x:v>12</x:v>
      </x:c>
      <x:c r="J20" s="13" t="s">
        <x:v>12</x:v>
      </x:c>
      <x:c r="K20" s="13" t="s">
        <x:v>12</x:v>
      </x:c>
      <x:c r="L20" s="13" t="s">
        <x:v>12</x:v>
      </x:c>
      <x:c r="M20" s="13"/>
      <x:c r="N20" s="13"/>
      <x:c r="O20" s="13"/>
    </x:row>
    <x:row r="21" ht="15" customHeight="1">
      <x:c r="A21" s="11">
        <x:f t="shared" si="0"/>
        <x:v>16</x:v>
      </x:c>
      <x:c r="B21" s="12" t="s">
        <x:v>28</x:v>
      </x:c>
      <x:c r="C21" s="13" t="s">
        <x:v>6</x:v>
      </x:c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</x:row>
    <x:row r="22" ht="13.5">
      <x:c r="A22" s="15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</x:row>
    <x:row r="23" ht="13.5">
      <x:c r="A23" s="15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</x:row>
    <x:row r="24" ht="13.5">
      <x:c r="A24" s="17"/>
      <x:c r="B24" s="18" t="s">
        <x:v>29</x:v>
      </x:c>
      <x:c r="D24" s="1" t="s">
        <x:v>15</x:v>
      </x:c>
      <x:c r="E24" s="1" t="n">
        <x:f>COUNTIF(D6:O19,"IZA")</x:f>
        <x:v>34</x:v>
      </x:c>
      <x:c r="I24" s="1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</x:row>
    <x:row r="25" ht="13.5">
      <x:c r="B25" s="18"/>
      <x:c r="C25" s="18"/>
      <x:c r="D25" s="1" t="s">
        <x:v>7</x:v>
      </x:c>
      <x:c r="E25" s="1" t="n">
        <x:f>COUNTIF(D6:O19,"LY")</x:f>
        <x:v>35</x:v>
      </x:c>
      <x:c r="H25" s="7"/>
      <x:c r="I25" s="1"/>
    </x:row>
    <x:row r="26" ht="13.5">
      <x:c r="B26" s="18"/>
      <x:c r="C26" s="18"/>
      <x:c r="D26" s="1" t="s">
        <x:v>12</x:v>
      </x:c>
      <x:c r="E26" s="1" t="n">
        <x:f>COUNTIF(D6:O19,"YS")</x:f>
        <x:v>19</x:v>
      </x:c>
      <x:c r="I26" s="1"/>
    </x:row>
    <x:row r="27" ht="13.5">
      <x:c r="C27" s="18"/>
      <x:c r="D27" s="1" t="s">
        <x:v>24</x:v>
      </x:c>
      <x:c r="E27" s="1" t="n">
        <x:f>COUNTIF(D7:O20,"YEOH")</x:f>
        <x:v>5</x:v>
      </x:c>
      <x:c r="I27" s="1"/>
    </x:row>
    <x:row r="28">
      <x:c r="B28" s="20"/>
    </x:row>
    <x:row r="29" ht="13.5">
      <x:c r="B29" s="1" t="s">
        <x:v>30</x:v>
      </x:c>
      <x:c r="C29" s="21"/>
      <x:c r="I29" s="1"/>
    </x:row>
    <x:row r="30" ht="13.5">
      <x:c r="B30" s="18" t="s">
        <x:v>31</x:v>
      </x:c>
      <x:c r="I30" s="1"/>
    </x:row>
    <x:row r="31" ht="13.5">
      <x:c r="C31" s="18"/>
      <x:c r="I31" s="1"/>
    </x:row>
  </x:sheetData>
  <x:mergeCells>
    <x:mergeCell ref="A4:A5"/>
    <x:mergeCell ref="B4:B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topLeftCell="C1" activePane="topRight" state="frozen"/>
    </x:sheetView>
  </x:sheetViews>
  <x:sheetFormatPr defaultColWidth="10.28515625" defaultRowHeight="13.5"/>
  <x:cols>
    <x:col min="1" max="1" width="5.7109375" style="1" customWidth="1"/>
    <x:col min="2" max="2" width="45.42578125" style="1" customWidth="1"/>
    <x:col min="3" max="16384" width="10.28515625" style="1" customWidth="0"/>
  </x:cols>
  <x:sheetData>
    <x:row r="2" ht="15.75">
      <x:c r="B2" s="2" t="s">
        <x:v>32</x:v>
      </x:c>
    </x:row>
    <x:row r="3" ht="14.25"/>
    <x:row r="4" ht="14.25">
      <x:c r="A4" s="3" t="s">
        <x:v>1</x:v>
      </x:c>
      <x:c r="B4" s="3" t="s">
        <x:v>2</x:v>
      </x:c>
      <x:c r="C4" s="5" t="s">
        <x:v>3</x:v>
      </x:c>
      <x:c r="D4" s="6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 ht="19.5" customHeight="1">
      <x:c r="A5" s="8"/>
      <x:c r="B5" s="8"/>
      <x:c r="C5" s="10">
        <x:v>46023</x:v>
      </x:c>
      <x:c r="D5" s="10">
        <x:v>46054</x:v>
      </x:c>
      <x:c r="E5" s="10">
        <x:v>46082</x:v>
      </x:c>
      <x:c r="F5" s="10">
        <x:v>46113</x:v>
      </x:c>
      <x:c r="G5" s="10">
        <x:v>46143</x:v>
      </x:c>
      <x:c r="H5" s="10">
        <x:v>46174</x:v>
      </x:c>
      <x:c r="I5" s="10">
        <x:v>46204</x:v>
      </x:c>
      <x:c r="J5" s="10">
        <x:v>46235</x:v>
      </x:c>
      <x:c r="K5" s="10">
        <x:v>46266</x:v>
      </x:c>
      <x:c r="L5" s="10">
        <x:v>46296</x:v>
      </x:c>
      <x:c r="M5" s="10">
        <x:v>46327</x:v>
      </x:c>
      <x:c r="N5" s="10">
        <x:v>46357</x:v>
      </x:c>
    </x:row>
    <x:row r="6" ht="15" customHeight="1">
      <x:c r="A6" s="11">
        <x:v>1</x:v>
      </x:c>
      <x:c r="B6" s="22" t="s">
        <x:v>5</x:v>
      </x:c>
      <x:c r="C6" s="13" t="s">
        <x:v>7</x:v>
      </x:c>
      <x:c r="D6" s="13" t="s">
        <x:v>7</x:v>
      </x:c>
      <x:c r="E6" s="13" t="s">
        <x:v>7</x:v>
      </x:c>
      <x:c r="F6" s="13" t="s">
        <x:v>7</x:v>
      </x:c>
      <x:c r="G6" s="13" t="s">
        <x:v>7</x:v>
      </x:c>
      <x:c r="H6" s="13" t="s">
        <x:v>7</x:v>
      </x:c>
      <x:c r="I6" s="13" t="s">
        <x:v>7</x:v>
      </x:c>
      <x:c r="J6" s="13" t="s">
        <x:v>7</x:v>
      </x:c>
      <x:c r="K6" s="13" t="str">
        <x:v>IZA</x:v>
      </x:c>
      <x:c r="L6" s="13"/>
      <x:c r="M6" s="13"/>
      <x:c r="N6" s="13"/>
    </x:row>
    <x:row r="7" ht="15" customHeight="1">
      <x:c r="A7" s="11" t="n">
        <x:f>A6+1</x:f>
        <x:v>2</x:v>
      </x:c>
      <x:c r="B7" s="22" t="s">
        <x:v>33</x:v>
      </x:c>
      <x:c r="C7" s="13" t="s">
        <x:v>7</x:v>
      </x:c>
      <x:c r="D7" s="13" t="s">
        <x:v>7</x:v>
      </x:c>
      <x:c r="E7" s="13" t="s">
        <x:v>7</x:v>
      </x:c>
      <x:c r="F7" s="13" t="s">
        <x:v>7</x:v>
      </x:c>
      <x:c r="G7" s="13" t="s">
        <x:v>7</x:v>
      </x:c>
      <x:c r="H7" s="13" t="s">
        <x:v>7</x:v>
      </x:c>
      <x:c r="I7" s="13" t="s">
        <x:v>7</x:v>
      </x:c>
      <x:c r="J7" s="13" t="s">
        <x:v>7</x:v>
      </x:c>
      <x:c r="K7" s="13" t="str">
        <x:v>YS</x:v>
      </x:c>
      <x:c r="L7" s="13"/>
      <x:c r="M7" s="13"/>
      <x:c r="N7" s="13"/>
    </x:row>
    <x:row r="8" ht="15" customHeight="1">
      <x:c r="A8" s="11" t="n">
        <x:f t="shared" ref="A8:A17" si="0">A7+1</x:f>
        <x:v>3</x:v>
      </x:c>
      <x:c r="B8" s="22" t="s">
        <x:v>34</x:v>
      </x:c>
      <x:c r="C8" s="13" t="s">
        <x:v>7</x:v>
      </x:c>
      <x:c r="D8" s="13" t="s">
        <x:v>7</x:v>
      </x:c>
      <x:c r="E8" s="13" t="s">
        <x:v>7</x:v>
      </x:c>
      <x:c r="F8" s="13" t="s">
        <x:v>7</x:v>
      </x:c>
      <x:c r="G8" s="13" t="s">
        <x:v>7</x:v>
      </x:c>
      <x:c r="H8" s="13" t="s">
        <x:v>7</x:v>
      </x:c>
      <x:c r="I8" s="13" t="s">
        <x:v>7</x:v>
      </x:c>
      <x:c r="J8" s="13" t="s">
        <x:v>7</x:v>
      </x:c>
      <x:c r="K8" s="13" t="str">
        <x:v>IZA</x:v>
      </x:c>
      <x:c r="L8" s="13"/>
      <x:c r="M8" s="13"/>
      <x:c r="N8" s="13"/>
    </x:row>
    <x:row r="9" ht="15" customHeight="1">
      <x:c r="A9" s="11">
        <x:f t="shared" si="0"/>
        <x:v>4</x:v>
      </x:c>
      <x:c r="B9" s="22" t="s">
        <x:v>35</x:v>
      </x:c>
      <x:c r="C9" s="13" t="s">
        <x:v>7</x:v>
      </x:c>
      <x:c r="D9" s="13" t="s">
        <x:v>7</x:v>
      </x:c>
      <x:c r="E9" s="13" t="s">
        <x:v>7</x:v>
      </x:c>
      <x:c r="F9" s="13" t="s">
        <x:v>7</x:v>
      </x:c>
      <x:c r="G9" s="13" t="s">
        <x:v>7</x:v>
      </x:c>
      <x:c r="H9" s="13" t="s">
        <x:v>7</x:v>
      </x:c>
      <x:c r="I9" s="13" t="s">
        <x:v>7</x:v>
      </x:c>
      <x:c r="J9" s="13" t="s">
        <x:v>7</x:v>
      </x:c>
      <x:c r="K9" s="13" t="str">
        <x:v>YS</x:v>
      </x:c>
      <x:c r="L9" s="13"/>
      <x:c r="M9" s="13"/>
      <x:c r="N9" s="13"/>
    </x:row>
    <x:row r="10" ht="15" customHeight="1">
      <x:c r="A10" s="11">
        <x:f t="shared" si="0"/>
        <x:v>5</x:v>
      </x:c>
      <x:c r="B10" s="22" t="s">
        <x:v>36</x:v>
      </x:c>
      <x:c r="C10" s="13" t="s">
        <x:v>7</x:v>
      </x:c>
      <x:c r="D10" s="13" t="s">
        <x:v>7</x:v>
      </x:c>
      <x:c r="E10" s="13" t="s">
        <x:v>7</x:v>
      </x:c>
      <x:c r="F10" s="13" t="s">
        <x:v>7</x:v>
      </x:c>
      <x:c r="G10" s="13" t="s">
        <x:v>7</x:v>
      </x:c>
      <x:c r="H10" s="13" t="s">
        <x:v>7</x:v>
      </x:c>
      <x:c r="I10" s="13" t="s">
        <x:v>7</x:v>
      </x:c>
      <x:c r="J10" s="13" t="s">
        <x:v>7</x:v>
      </x:c>
      <x:c r="K10" s="13" t="str">
        <x:v>LY</x:v>
      </x:c>
      <x:c r="L10" s="13"/>
      <x:c r="M10" s="13"/>
      <x:c r="N10" s="13"/>
    </x:row>
    <x:row r="11" ht="15" customHeight="1">
      <x:c r="A11" s="11">
        <x:f t="shared" si="0"/>
        <x:v>6</x:v>
      </x:c>
      <x:c r="B11" s="22" t="s">
        <x:v>37</x:v>
      </x:c>
      <x:c r="C11" s="13" t="s">
        <x:v>15</x:v>
      </x:c>
      <x:c r="D11" s="13" t="s">
        <x:v>15</x:v>
      </x:c>
      <x:c r="E11" s="13" t="s">
        <x:v>15</x:v>
      </x:c>
      <x:c r="F11" s="13" t="s">
        <x:v>15</x:v>
      </x:c>
      <x:c r="G11" s="13" t="s">
        <x:v>15</x:v>
      </x:c>
      <x:c r="H11" s="13" t="s">
        <x:v>15</x:v>
      </x:c>
      <x:c r="I11" s="13" t="s">
        <x:v>15</x:v>
      </x:c>
      <x:c r="J11" s="13" t="s">
        <x:v>15</x:v>
      </x:c>
      <x:c r="K11" s="13" t="str">
        <x:v>LY</x:v>
      </x:c>
      <x:c r="L11" s="13"/>
      <x:c r="M11" s="13"/>
      <x:c r="N11" s="13"/>
    </x:row>
    <x:row r="12" ht="15" customHeight="1">
      <x:c r="A12" s="11">
        <x:f t="shared" si="0"/>
        <x:v>7</x:v>
      </x:c>
      <x:c r="B12" s="22" t="s">
        <x:v>18</x:v>
      </x:c>
      <x:c r="C12" s="13" t="s">
        <x:v>12</x:v>
      </x:c>
      <x:c r="D12" s="13" t="s">
        <x:v>12</x:v>
      </x:c>
      <x:c r="E12" s="13" t="s">
        <x:v>12</x:v>
      </x:c>
      <x:c r="F12" s="13" t="s">
        <x:v>12</x:v>
      </x:c>
      <x:c r="G12" s="13" t="s">
        <x:v>12</x:v>
      </x:c>
      <x:c r="H12" s="13" t="s">
        <x:v>12</x:v>
      </x:c>
      <x:c r="I12" s="13" t="s">
        <x:v>12</x:v>
      </x:c>
      <x:c r="J12" s="13" t="s">
        <x:v>12</x:v>
      </x:c>
      <x:c r="K12" s="13" t="s">
        <x:v>12</x:v>
      </x:c>
      <x:c r="L12" s="13"/>
      <x:c r="M12" s="13"/>
      <x:c r="N12" s="13"/>
    </x:row>
    <x:row r="13" ht="15" customHeight="1">
      <x:c r="A13" s="11">
        <x:f t="shared" si="0"/>
        <x:v>8</x:v>
      </x:c>
      <x:c r="B13" s="22" t="s">
        <x:v>38</x:v>
      </x:c>
      <x:c r="C13" s="13" t="s">
        <x:v>7</x:v>
      </x:c>
      <x:c r="D13" s="13" t="s">
        <x:v>7</x:v>
      </x:c>
      <x:c r="E13" s="13" t="s">
        <x:v>7</x:v>
      </x:c>
      <x:c r="F13" s="13" t="s">
        <x:v>7</x:v>
      </x:c>
      <x:c r="G13" s="13" t="s">
        <x:v>7</x:v>
      </x:c>
      <x:c r="H13" s="13" t="s">
        <x:v>7</x:v>
      </x:c>
      <x:c r="I13" s="13" t="s">
        <x:v>7</x:v>
      </x:c>
      <x:c r="J13" s="23" t="s">
        <x:v>11</x:v>
      </x:c>
      <x:c r="K13" s="13" t="s">
        <x:v>7</x:v>
      </x:c>
      <x:c r="L13" s="13"/>
      <x:c r="M13" s="13"/>
      <x:c r="N13" s="13"/>
    </x:row>
    <x:row r="14" ht="15" customHeight="1">
      <x:c r="A14" s="11">
        <x:f t="shared" si="0"/>
        <x:v>9</x:v>
      </x:c>
      <x:c r="B14" s="22" t="s">
        <x:v>23</x:v>
      </x:c>
      <x:c r="C14" s="23" t="s">
        <x:v>11</x:v>
      </x:c>
      <x:c r="D14" s="23" t="s">
        <x:v>11</x:v>
      </x:c>
      <x:c r="E14" s="23" t="s">
        <x:v>11</x:v>
      </x:c>
      <x:c r="F14" s="23" t="s">
        <x:v>11</x:v>
      </x:c>
      <x:c r="G14" s="13" t="s">
        <x:v>15</x:v>
      </x:c>
      <x:c r="H14" s="13" t="s">
        <x:v>15</x:v>
      </x:c>
      <x:c r="I14" s="13" t="s">
        <x:v>15</x:v>
      </x:c>
      <x:c r="J14" s="13" t="s">
        <x:v>15</x:v>
      </x:c>
      <x:c r="K14" s="13" t="s">
        <x:v>15</x:v>
      </x:c>
      <x:c r="L14" s="13"/>
      <x:c r="M14" s="13"/>
      <x:c r="N14" s="13"/>
    </x:row>
    <x:row r="15" ht="15" customHeight="1">
      <x:c r="A15" s="11">
        <x:f t="shared" si="0"/>
        <x:v>10</x:v>
      </x:c>
      <x:c r="B15" s="22" t="s">
        <x:v>25</x:v>
      </x:c>
      <x:c r="C15" s="13" t="s">
        <x:v>15</x:v>
      </x:c>
      <x:c r="D15" s="13" t="s">
        <x:v>15</x:v>
      </x:c>
      <x:c r="E15" s="13" t="s">
        <x:v>15</x:v>
      </x:c>
      <x:c r="F15" s="13" t="s">
        <x:v>15</x:v>
      </x:c>
      <x:c r="G15" s="13" t="s">
        <x:v>15</x:v>
      </x:c>
      <x:c r="H15" s="13" t="s">
        <x:v>15</x:v>
      </x:c>
      <x:c r="I15" s="13" t="s">
        <x:v>15</x:v>
      </x:c>
      <x:c r="J15" s="13" t="s">
        <x:v>15</x:v>
      </x:c>
      <x:c r="K15" s="13" t="s">
        <x:v>15</x:v>
      </x:c>
      <x:c r="L15" s="13"/>
      <x:c r="M15" s="13"/>
      <x:c r="N15" s="13"/>
    </x:row>
    <x:row r="16" ht="15" customHeight="1">
      <x:c r="A16" s="11">
        <x:f t="shared" si="0"/>
        <x:v>11</x:v>
      </x:c>
      <x:c r="B16" s="22" t="s">
        <x:v>39</x:v>
      </x:c>
      <x:c r="C16" s="13" t="s">
        <x:v>12</x:v>
      </x:c>
      <x:c r="D16" s="13" t="s">
        <x:v>12</x:v>
      </x:c>
      <x:c r="E16" s="13" t="s">
        <x:v>12</x:v>
      </x:c>
      <x:c r="F16" s="13" t="s">
        <x:v>12</x:v>
      </x:c>
      <x:c r="G16" s="13" t="s">
        <x:v>12</x:v>
      </x:c>
      <x:c r="H16" s="13" t="s">
        <x:v>12</x:v>
      </x:c>
      <x:c r="I16" s="13" t="s">
        <x:v>12</x:v>
      </x:c>
      <x:c r="J16" s="13" t="s">
        <x:v>12</x:v>
      </x:c>
      <x:c r="K16" s="13" t="s">
        <x:v>12</x:v>
      </x:c>
      <x:c r="L16" s="13"/>
      <x:c r="M16" s="13"/>
      <x:c r="N16" s="13"/>
    </x:row>
    <x:row r="17" ht="15" customHeight="1">
      <x:c r="A17" s="11">
        <x:f t="shared" si="0"/>
        <x:v>12</x:v>
      </x:c>
      <x:c r="B17" s="22" t="s">
        <x:v>40</x:v>
      </x:c>
      <x:c r="C17" s="13" t="s">
        <x:v>12</x:v>
      </x:c>
      <x:c r="D17" s="13" t="s">
        <x:v>12</x:v>
      </x:c>
      <x:c r="E17" s="13" t="s">
        <x:v>12</x:v>
      </x:c>
      <x:c r="F17" s="13" t="s">
        <x:v>12</x:v>
      </x:c>
      <x:c r="G17" s="13" t="s">
        <x:v>12</x:v>
      </x:c>
      <x:c r="H17" s="13" t="s">
        <x:v>12</x:v>
      </x:c>
      <x:c r="I17" s="13" t="s">
        <x:v>12</x:v>
      </x:c>
      <x:c r="J17" s="13" t="s">
        <x:v>12</x:v>
      </x:c>
      <x:c r="K17" s="13" t="s">
        <x:v>12</x:v>
      </x:c>
      <x:c r="L17" s="13"/>
      <x:c r="M17" s="13"/>
      <x:c r="N17" s="13"/>
    </x:row>
    <x:row r="18">
      <x:c r="A18" s="17"/>
      <x:c r="B18" s="24"/>
      <x:c r="C18" s="24"/>
      <x:c r="D18" s="24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7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7"/>
      <x:c r="B20" s="18" t="s">
        <x:v>29</x:v>
      </x:c>
      <x:c r="C20" s="1" t="s">
        <x:v>15</x:v>
      </x:c>
      <x:c r="D20" s="1" t="n">
        <x:f>COUNTIF(C6:N17,"IZA")</x:f>
        <x:v>24</x:v>
      </x:c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B21" s="18"/>
      <x:c r="C21" s="1" t="s">
        <x:v>7</x:v>
      </x:c>
      <x:c r="D21" s="1" t="n">
        <x:f>COUNTIF(C6:N17,"LY")</x:f>
        <x:v>50</x:v>
      </x:c>
      <x:c r="G21" s="7"/>
    </x:row>
    <x:row r="22">
      <x:c r="B22" s="18"/>
      <x:c r="C22" s="1" t="s">
        <x:v>12</x:v>
      </x:c>
      <x:c r="D22" s="1" t="n">
        <x:f>COUNTIF(C6:N17,"YS")</x:f>
        <x:v>29</x:v>
      </x:c>
    </x:row>
    <x:row r="23">
      <x:c r="C23" s="1" t="s">
        <x:v>24</x:v>
      </x:c>
      <x:c r="D23" s="1" t="n">
        <x:f>COUNTIF(C7:N18,"YEOH")</x:f>
        <x:v>0</x:v>
      </x:c>
    </x:row>
    <x:row r="24">
      <x:c r="B24" s="20"/>
    </x:row>
    <x:row r="25">
      <x:c r="B25" s="1" t="s">
        <x:v>30</x:v>
      </x:c>
    </x:row>
    <x:row r="26">
      <x:c r="B26" s="18" t="s">
        <x:v>31</x:v>
      </x:c>
    </x:row>
  </x:sheetData>
  <x:mergeCells>
    <x:mergeCell ref="A4:A5"/>
    <x:mergeCell ref="B4:B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3" topLeftCell="D1" activePane="topRight" state="frozen"/>
    </x:sheetView>
  </x:sheetViews>
  <x:sheetFormatPr defaultColWidth="10.28515625" defaultRowHeight="13.5"/>
  <x:cols>
    <x:col min="1" max="1" width="5.7109375" style="1" customWidth="1"/>
    <x:col min="2" max="2" width="42.85546875" style="1" customWidth="1"/>
    <x:col min="3" max="3" width="22" style="1" customWidth="1"/>
    <x:col min="4" max="16384" width="10.28515625" style="1" customWidth="0"/>
  </x:cols>
  <x:sheetData>
    <x:row r="2" ht="15.75">
      <x:c r="B2" s="2" t="s">
        <x:v>41</x:v>
      </x:c>
      <x:c r="C2" s="2"/>
    </x:row>
    <x:row r="3" ht="14.25"/>
    <x:row r="4" s="28" customFormat="1" ht="15" customHeight="1">
      <x:c r="A4" s="3" t="s">
        <x:v>1</x:v>
      </x:c>
      <x:c r="B4" s="25" t="s">
        <x:v>2</x:v>
      </x:c>
      <x:c r="C4" s="26" t="s">
        <x:v>42</x:v>
      </x:c>
      <x:c r="D4" s="27">
        <x:v>46023</x:v>
      </x:c>
      <x:c r="E4" s="27">
        <x:v>46054</x:v>
      </x:c>
      <x:c r="F4" s="27">
        <x:v>46082</x:v>
      </x:c>
      <x:c r="G4" s="27">
        <x:v>46113</x:v>
      </x:c>
      <x:c r="H4" s="27">
        <x:v>46143</x:v>
      </x:c>
      <x:c r="I4" s="27">
        <x:v>46174</x:v>
      </x:c>
      <x:c r="J4" s="27">
        <x:v>46204</x:v>
      </x:c>
      <x:c r="K4" s="27">
        <x:v>46235</x:v>
      </x:c>
      <x:c r="L4" s="27">
        <x:v>46266</x:v>
      </x:c>
      <x:c r="M4" s="27">
        <x:v>46296</x:v>
      </x:c>
      <x:c r="N4" s="27">
        <x:v>46327</x:v>
      </x:c>
      <x:c r="O4" s="27">
        <x:v>46357</x:v>
      </x:c>
    </x:row>
    <x:row r="5" s="28" customFormat="1" ht="15" customHeight="1">
      <x:c r="A5" s="8"/>
      <x:c r="B5" s="8"/>
      <x:c r="C5" s="29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</x:row>
    <x:row r="6" ht="15" customHeight="1">
      <x:c r="A6" s="31">
        <x:v>1</x:v>
      </x:c>
      <x:c r="B6" s="32" t="s">
        <x:v>5</x:v>
      </x:c>
      <x:c r="C6" s="33" t="s">
        <x:v>43</x:v>
      </x:c>
      <x:c r="D6" s="13" t="s">
        <x:v>7</x:v>
      </x:c>
      <x:c r="E6" s="13" t="s">
        <x:v>7</x:v>
      </x:c>
      <x:c r="F6" s="13" t="s">
        <x:v>15</x:v>
      </x:c>
      <x:c r="G6" s="13" t="s">
        <x:v>15</x:v>
      </x:c>
      <x:c r="H6" s="13" t="s">
        <x:v>15</x:v>
      </x:c>
      <x:c r="I6" s="13" t="s">
        <x:v>7</x:v>
      </x:c>
      <x:c r="J6" s="13" t="s">
        <x:v>7</x:v>
      </x:c>
      <x:c r="K6" s="13" t="s">
        <x:v>7</x:v>
      </x:c>
      <x:c r="L6" s="13" t="str">
        <x:v>YS</x:v>
      </x:c>
      <x:c r="M6" s="13"/>
      <x:c r="N6" s="13"/>
      <x:c r="O6" s="13"/>
    </x:row>
    <x:row r="7" ht="15" customHeight="1">
      <x:c r="A7" s="31" t="n">
        <x:f>A6+1</x:f>
        <x:v>2</x:v>
      </x:c>
      <x:c r="B7" s="32" t="s">
        <x:v>8</x:v>
      </x:c>
      <x:c r="C7" s="33" t="s">
        <x:v>44</x:v>
      </x:c>
      <x:c r="D7" s="13" t="s">
        <x:v>7</x:v>
      </x:c>
      <x:c r="E7" s="13" t="s">
        <x:v>45</x:v>
      </x:c>
      <x:c r="F7" s="13" t="s">
        <x:v>7</x:v>
      </x:c>
      <x:c r="G7" s="13" t="s">
        <x:v>7</x:v>
      </x:c>
      <x:c r="H7" s="13" t="s">
        <x:v>7</x:v>
      </x:c>
      <x:c r="I7" s="13" t="s">
        <x:v>7</x:v>
      </x:c>
      <x:c r="J7" s="13" t="s">
        <x:v>7</x:v>
      </x:c>
      <x:c r="K7" s="13" t="s">
        <x:v>7</x:v>
      </x:c>
      <x:c r="L7" s="13" t="str">
        <x:v>IZA</x:v>
      </x:c>
      <x:c r="M7" s="13"/>
      <x:c r="N7" s="13"/>
      <x:c r="O7" s="13"/>
    </x:row>
    <x:row r="8" ht="15" customHeight="1">
      <x:c r="A8" s="31" t="n">
        <x:f t="shared" ref="A8:A18" si="0">A7+1</x:f>
        <x:v>3</x:v>
      </x:c>
      <x:c r="B8" s="32" t="s">
        <x:v>10</x:v>
      </x:c>
      <x:c r="C8" s="33" t="s">
        <x:v>43</x:v>
      </x:c>
      <x:c r="D8" s="23" t="s">
        <x:v>11</x:v>
      </x:c>
      <x:c r="E8" s="23" t="s">
        <x:v>11</x:v>
      </x:c>
      <x:c r="F8" s="23" t="s">
        <x:v>11</x:v>
      </x:c>
      <x:c r="G8" s="23" t="s">
        <x:v>11</x:v>
      </x:c>
      <x:c r="H8" s="23" t="s">
        <x:v>11</x:v>
      </x:c>
      <x:c r="I8" s="23" t="s">
        <x:v>11</x:v>
      </x:c>
      <x:c r="J8" s="23" t="s">
        <x:v>11</x:v>
      </x:c>
      <x:c r="K8" s="23" t="s">
        <x:v>11</x:v>
      </x:c>
      <x:c r="L8" s="13" t="str">
        <x:v>LY</x:v>
      </x:c>
      <x:c r="M8" s="13"/>
      <x:c r="N8" s="13"/>
      <x:c r="O8" s="13"/>
    </x:row>
    <x:row r="9" ht="15" customHeight="1">
      <x:c r="A9" s="31">
        <x:f t="shared" si="0"/>
        <x:v>4</x:v>
      </x:c>
      <x:c r="B9" s="32" t="s">
        <x:v>13</x:v>
      </x:c>
      <x:c r="C9" s="33" t="s">
        <x:v>44</x:v>
      </x:c>
      <x:c r="D9" s="23" t="s">
        <x:v>11</x:v>
      </x:c>
      <x:c r="E9" s="13" t="s">
        <x:v>7</x:v>
      </x:c>
      <x:c r="F9" s="13" t="s">
        <x:v>7</x:v>
      </x:c>
      <x:c r="G9" s="23" t="s">
        <x:v>11</x:v>
      </x:c>
      <x:c r="H9" s="13" t="s">
        <x:v>7</x:v>
      </x:c>
      <x:c r="I9" s="23" t="s">
        <x:v>11</x:v>
      </x:c>
      <x:c r="J9" s="13" t="s">
        <x:v>7</x:v>
      </x:c>
      <x:c r="K9" s="23" t="s">
        <x:v>11</x:v>
      </x:c>
      <x:c r="L9" s="13" t="str">
        <x:v>YS</x:v>
      </x:c>
      <x:c r="M9" s="13"/>
      <x:c r="N9" s="13"/>
      <x:c r="O9" s="13"/>
    </x:row>
    <x:row r="10" ht="15" customHeight="1">
      <x:c r="A10" s="31">
        <x:f t="shared" si="0"/>
        <x:v>5</x:v>
      </x:c>
      <x:c r="B10" s="32" t="s">
        <x:v>18</x:v>
      </x:c>
      <x:c r="C10" s="33" t="s">
        <x:v>44</x:v>
      </x:c>
      <x:c r="D10" s="13" t="s">
        <x:v>7</x:v>
      </x:c>
      <x:c r="E10" s="13" t="s">
        <x:v>15</x:v>
      </x:c>
      <x:c r="F10" s="13" t="s">
        <x:v>7</x:v>
      </x:c>
      <x:c r="G10" s="13" t="s">
        <x:v>7</x:v>
      </x:c>
      <x:c r="H10" s="13" t="s">
        <x:v>7</x:v>
      </x:c>
      <x:c r="I10" s="13" t="s">
        <x:v>7</x:v>
      </x:c>
      <x:c r="J10" s="13" t="s">
        <x:v>7</x:v>
      </x:c>
      <x:c r="K10" s="13" t="s">
        <x:v>7</x:v>
      </x:c>
      <x:c r="L10" s="13" t="str">
        <x:v>IZA</x:v>
      </x:c>
      <x:c r="M10" s="13"/>
      <x:c r="N10" s="13"/>
      <x:c r="O10" s="13"/>
    </x:row>
    <x:row r="11" ht="30" customHeight="1">
      <x:c r="A11" s="31">
        <x:f t="shared" si="0"/>
        <x:v>6</x:v>
      </x:c>
      <x:c r="B11" s="34" t="s">
        <x:v>46</x:v>
      </x:c>
      <x:c r="C11" s="33" t="s">
        <x:v>44</x:v>
      </x:c>
      <x:c r="D11" s="23" t="s">
        <x:v>11</x:v>
      </x:c>
      <x:c r="E11" s="13" t="s">
        <x:v>15</x:v>
      </x:c>
      <x:c r="F11" s="23" t="s">
        <x:v>11</x:v>
      </x:c>
      <x:c r="G11" s="13" t="s">
        <x:v>15</x:v>
      </x:c>
      <x:c r="H11" s="23" t="s">
        <x:v>11</x:v>
      </x:c>
      <x:c r="I11" s="13" t="s">
        <x:v>15</x:v>
      </x:c>
      <x:c r="J11" s="13" t="s">
        <x:v>15</x:v>
      </x:c>
      <x:c r="K11" s="13" t="s">
        <x:v>15</x:v>
      </x:c>
      <x:c r="L11" s="13" t="s">
        <x:v>15</x:v>
      </x:c>
      <x:c r="M11" s="13"/>
      <x:c r="N11" s="13"/>
      <x:c r="O11" s="13"/>
    </x:row>
    <x:row r="12" ht="15" customHeight="1">
      <x:c r="A12" s="31">
        <x:f t="shared" si="0"/>
        <x:v>7</x:v>
      </x:c>
      <x:c r="B12" s="32" t="s">
        <x:v>21</x:v>
      </x:c>
      <x:c r="C12" s="33" t="s">
        <x:v>43</x:v>
      </x:c>
      <x:c r="D12" s="23" t="s">
        <x:v>11</x:v>
      </x:c>
      <x:c r="E12" s="23" t="s">
        <x:v>11</x:v>
      </x:c>
      <x:c r="F12" s="13" t="s">
        <x:v>15</x:v>
      </x:c>
      <x:c r="G12" s="13" t="s">
        <x:v>15</x:v>
      </x:c>
      <x:c r="H12" s="13" t="s">
        <x:v>15</x:v>
      </x:c>
      <x:c r="I12" s="13" t="s">
        <x:v>15</x:v>
      </x:c>
      <x:c r="J12" s="13" t="s">
        <x:v>15</x:v>
      </x:c>
      <x:c r="K12" s="13" t="s">
        <x:v>15</x:v>
      </x:c>
      <x:c r="L12" s="13" t="str">
        <x:v>LY</x:v>
      </x:c>
      <x:c r="M12" s="13"/>
      <x:c r="N12" s="13"/>
      <x:c r="O12" s="13"/>
    </x:row>
    <x:row r="13" ht="30" customHeight="1">
      <x:c r="A13" s="31">
        <x:f t="shared" si="0"/>
        <x:v>8</x:v>
      </x:c>
      <x:c r="B13" s="34" t="s">
        <x:v>47</x:v>
      </x:c>
      <x:c r="C13" s="33" t="s">
        <x:v>43</x:v>
      </x:c>
      <x:c r="D13" s="23" t="s">
        <x:v>11</x:v>
      </x:c>
      <x:c r="E13" s="13" t="s">
        <x:v>15</x:v>
      </x:c>
      <x:c r="F13" s="23" t="s">
        <x:v>11</x:v>
      </x:c>
      <x:c r="G13" s="13" t="s">
        <x:v>15</x:v>
      </x:c>
      <x:c r="H13" s="23" t="s">
        <x:v>11</x:v>
      </x:c>
      <x:c r="I13" s="13" t="s">
        <x:v>15</x:v>
      </x:c>
      <x:c r="J13" s="23" t="s">
        <x:v>11</x:v>
      </x:c>
      <x:c r="K13" s="13" t="s">
        <x:v>15</x:v>
      </x:c>
      <x:c r="L13" s="13" t="s">
        <x:v>15</x:v>
      </x:c>
      <x:c r="M13" s="13"/>
      <x:c r="N13" s="13"/>
      <x:c r="O13" s="13"/>
    </x:row>
    <x:row r="14" ht="30" customHeight="1">
      <x:c r="A14" s="31">
        <x:f t="shared" si="0"/>
        <x:v>9</x:v>
      </x:c>
      <x:c r="B14" s="34" t="s">
        <x:v>48</x:v>
      </x:c>
      <x:c r="C14" s="33" t="s">
        <x:v>43</x:v>
      </x:c>
      <x:c r="D14" s="23" t="s">
        <x:v>11</x:v>
      </x:c>
      <x:c r="E14" s="23" t="s">
        <x:v>11</x:v>
      </x:c>
      <x:c r="F14" s="23" t="s">
        <x:v>11</x:v>
      </x:c>
      <x:c r="G14" s="23" t="s">
        <x:v>11</x:v>
      </x:c>
      <x:c r="H14" s="23" t="s">
        <x:v>11</x:v>
      </x:c>
      <x:c r="I14" s="13" t="s">
        <x:v>12</x:v>
      </x:c>
      <x:c r="J14" s="23" t="s">
        <x:v>11</x:v>
      </x:c>
      <x:c r="K14" s="23" t="s">
        <x:v>11</x:v>
      </x:c>
      <x:c r="L14" s="23" t="s">
        <x:v>11</x:v>
      </x:c>
      <x:c r="M14" s="13"/>
      <x:c r="N14" s="13"/>
      <x:c r="O14" s="13"/>
    </x:row>
    <x:row r="15" ht="15" customHeight="1">
      <x:c r="A15" s="31">
        <x:f t="shared" si="0"/>
        <x:v>10</x:v>
      </x:c>
      <x:c r="B15" s="32" t="s">
        <x:v>23</x:v>
      </x:c>
      <x:c r="C15" s="33" t="s">
        <x:v>44</x:v>
      </x:c>
      <x:c r="D15" s="13" t="s">
        <x:v>12</x:v>
      </x:c>
      <x:c r="E15" s="13" t="s">
        <x:v>12</x:v>
      </x:c>
      <x:c r="F15" s="13" t="s">
        <x:v>12</x:v>
      </x:c>
      <x:c r="G15" s="13" t="s">
        <x:v>12</x:v>
      </x:c>
      <x:c r="H15" s="13" t="s">
        <x:v>12</x:v>
      </x:c>
      <x:c r="I15" s="23" t="s">
        <x:v>11</x:v>
      </x:c>
      <x:c r="J15" s="23" t="s">
        <x:v>11</x:v>
      </x:c>
      <x:c r="K15" s="13" t="s">
        <x:v>12</x:v>
      </x:c>
      <x:c r="L15" s="13" t="s">
        <x:v>12</x:v>
      </x:c>
      <x:c r="M15" s="13"/>
      <x:c r="N15" s="13"/>
      <x:c r="O15" s="13"/>
    </x:row>
    <x:row r="16" ht="30" customHeight="1">
      <x:c r="A16" s="31">
        <x:f t="shared" si="0"/>
        <x:v>11</x:v>
      </x:c>
      <x:c r="B16" s="34" t="s">
        <x:v>49</x:v>
      </x:c>
      <x:c r="C16" s="33" t="s">
        <x:v>44</x:v>
      </x:c>
      <x:c r="D16" s="13" t="s">
        <x:v>15</x:v>
      </x:c>
      <x:c r="E16" s="13" t="s">
        <x:v>15</x:v>
      </x:c>
      <x:c r="F16" s="13" t="s">
        <x:v>15</x:v>
      </x:c>
      <x:c r="G16" s="13" t="s">
        <x:v>15</x:v>
      </x:c>
      <x:c r="H16" s="13" t="s">
        <x:v>15</x:v>
      </x:c>
      <x:c r="I16" s="13" t="s">
        <x:v>15</x:v>
      </x:c>
      <x:c r="J16" s="13" t="s">
        <x:v>15</x:v>
      </x:c>
      <x:c r="K16" s="13" t="s">
        <x:v>15</x:v>
      </x:c>
      <x:c r="L16" s="13" t="s">
        <x:v>15</x:v>
      </x:c>
      <x:c r="M16" s="13"/>
      <x:c r="N16" s="13"/>
      <x:c r="O16" s="13"/>
    </x:row>
    <x:row r="17" ht="15" customHeight="1">
      <x:c r="A17" s="31">
        <x:f t="shared" si="0"/>
        <x:v>12</x:v>
      </x:c>
      <x:c r="B17" s="32" t="s">
        <x:v>39</x:v>
      </x:c>
      <x:c r="C17" s="33" t="s">
        <x:v>43</x:v>
      </x:c>
      <x:c r="D17" s="13" t="s">
        <x:v>12</x:v>
      </x:c>
      <x:c r="E17" s="13" t="s">
        <x:v>12</x:v>
      </x:c>
      <x:c r="F17" s="13" t="s">
        <x:v>12</x:v>
      </x:c>
      <x:c r="G17" s="13" t="s">
        <x:v>12</x:v>
      </x:c>
      <x:c r="H17" s="13" t="s">
        <x:v>12</x:v>
      </x:c>
      <x:c r="I17" s="13" t="s">
        <x:v>12</x:v>
      </x:c>
      <x:c r="J17" s="13" t="s">
        <x:v>12</x:v>
      </x:c>
      <x:c r="K17" s="13" t="s">
        <x:v>12</x:v>
      </x:c>
      <x:c r="L17" s="13" t="s">
        <x:v>12</x:v>
      </x:c>
      <x:c r="M17" s="13"/>
      <x:c r="N17" s="13"/>
      <x:c r="O17" s="13"/>
    </x:row>
    <x:row r="18" ht="30" customHeight="1">
      <x:c r="A18" s="35">
        <x:f t="shared" si="0"/>
        <x:v>13</x:v>
      </x:c>
      <x:c r="B18" s="36" t="s">
        <x:v>50</x:v>
      </x:c>
      <x:c r="C18" s="13" t="s">
        <x:v>43</x:v>
      </x:c>
      <x:c r="D18" s="13" t="s">
        <x:v>12</x:v>
      </x:c>
      <x:c r="E18" s="13" t="s">
        <x:v>12</x:v>
      </x:c>
      <x:c r="F18" s="13" t="s">
        <x:v>12</x:v>
      </x:c>
      <x:c r="G18" s="13" t="s">
        <x:v>12</x:v>
      </x:c>
      <x:c r="H18" s="23" t="s">
        <x:v>11</x:v>
      </x:c>
      <x:c r="I18" s="23" t="s">
        <x:v>11</x:v>
      </x:c>
      <x:c r="J18" s="13" t="s">
        <x:v>12</x:v>
      </x:c>
      <x:c r="K18" s="13" t="s">
        <x:v>12</x:v>
      </x:c>
      <x:c r="L18" s="13" t="s">
        <x:v>12</x:v>
      </x:c>
      <x:c r="M18" s="13"/>
      <x:c r="N18" s="13"/>
      <x:c r="O18" s="13"/>
    </x:row>
    <x:row r="19">
      <x:c r="A19" s="17"/>
      <x:c r="B19" s="24"/>
      <x:c r="C19" s="24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</x:row>
    <x:row r="20">
      <x:c r="A20" s="17"/>
      <x:c r="B20" s="24"/>
      <x:c r="C20" s="24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</x:row>
    <x:row r="21">
      <x:c r="B21" s="18" t="s">
        <x:v>29</x:v>
      </x:c>
      <x:c r="C21" s="18"/>
      <x:c r="D21" s="1" t="s">
        <x:v>15</x:v>
      </x:c>
      <x:c r="E21" s="1" t="n">
        <x:f>COUNTIF(D6:O18,"IZA")</x:f>
        <x:v>32</x:v>
      </x:c>
    </x:row>
    <x:row r="22">
      <x:c r="B22" s="18"/>
      <x:c r="D22" s="1" t="s">
        <x:v>7</x:v>
      </x:c>
      <x:c r="E22" s="1" t="n">
        <x:f>COUNTIF(D6:O18,"LY")</x:f>
        <x:v>25</x:v>
      </x:c>
    </x:row>
    <x:row r="23">
      <x:c r="D23" s="1" t="s">
        <x:v>12</x:v>
      </x:c>
      <x:c r="E23" s="1" t="n">
        <x:f>COUNTIF(D6:O18,"YS")</x:f>
        <x:v>26</x:v>
      </x:c>
    </x:row>
    <x:row r="24">
      <x:c r="B24" s="18"/>
      <x:c r="D24" s="1" t="s">
        <x:v>24</x:v>
      </x:c>
      <x:c r="E24" s="1" t="n">
        <x:f>COUNTIF(D6:O18,"YEOH")</x:f>
        <x:v>0</x:v>
      </x:c>
    </x:row>
    <x:row r="25">
      <x:c r="B25" s="20"/>
      <x:c r="C25" s="18"/>
    </x:row>
    <x:row r="26">
      <x:c r="B26" s="1" t="s">
        <x:v>30</x:v>
      </x:c>
    </x:row>
    <x:row r="27">
      <x:c r="B27" s="18" t="s">
        <x:v>31</x:v>
      </x:c>
      <x:c r="C27" s="18"/>
    </x:row>
  </x:sheetData>
  <x:mergeCells>
    <x:mergeCell ref="M4:M5"/>
    <x:mergeCell ref="N4:N5"/>
    <x:mergeCell ref="O4:O5"/>
    <x:mergeCell ref="G4:G5"/>
    <x:mergeCell ref="H4:H5"/>
    <x:mergeCell ref="I4:I5"/>
    <x:mergeCell ref="J4:J5"/>
    <x:mergeCell ref="K4:K5"/>
    <x:mergeCell ref="L4:L5"/>
    <x:mergeCell ref="A4:A5"/>
    <x:mergeCell ref="B4:B5"/>
    <x:mergeCell ref="C4:C5"/>
    <x:mergeCell ref="D4:D5"/>
    <x:mergeCell ref="E4:E5"/>
    <x:mergeCell ref="F4:F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topLeftCell="C1" activePane="topRight" state="frozen"/>
    </x:sheetView>
  </x:sheetViews>
  <x:sheetFormatPr defaultColWidth="10.28515625" defaultRowHeight="13.5"/>
  <x:cols>
    <x:col min="1" max="1" width="5.7109375" style="1" customWidth="1"/>
    <x:col min="2" max="2" width="41.5703125" style="1" customWidth="1"/>
    <x:col min="3" max="16384" width="10.28515625" style="1" customWidth="0"/>
  </x:cols>
  <x:sheetData>
    <x:row r="2" ht="15.75">
      <x:c r="B2" s="2" t="s">
        <x:v>51</x:v>
      </x:c>
    </x:row>
    <x:row r="3" ht="14.25"/>
    <x:row r="4">
      <x:c r="A4" s="3" t="s">
        <x:v>1</x:v>
      </x:c>
      <x:c r="B4" s="25" t="s">
        <x:v>2</x:v>
      </x:c>
      <x:c r="C4" s="27">
        <x:v>46023</x:v>
      </x:c>
      <x:c r="D4" s="27">
        <x:v>46054</x:v>
      </x:c>
      <x:c r="E4" s="27">
        <x:v>46082</x:v>
      </x:c>
      <x:c r="F4" s="27">
        <x:v>46113</x:v>
      </x:c>
      <x:c r="G4" s="27">
        <x:v>46143</x:v>
      </x:c>
      <x:c r="H4" s="27">
        <x:v>46174</x:v>
      </x:c>
      <x:c r="I4" s="27">
        <x:v>46204</x:v>
      </x:c>
      <x:c r="J4" s="27">
        <x:v>46235</x:v>
      </x:c>
      <x:c r="K4" s="27">
        <x:v>46266</x:v>
      </x:c>
      <x:c r="L4" s="27">
        <x:v>46296</x:v>
      </x:c>
      <x:c r="M4" s="27">
        <x:v>46327</x:v>
      </x:c>
      <x:c r="N4" s="27">
        <x:v>46357</x:v>
      </x:c>
    </x:row>
    <x:row r="5" ht="14.25">
      <x:c r="A5" s="8"/>
      <x:c r="B5" s="8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</x:row>
    <x:row r="6" ht="15" customHeight="1">
      <x:c r="A6" s="11">
        <x:v>1</x:v>
      </x:c>
      <x:c r="B6" s="22" t="s">
        <x:v>10</x:v>
      </x:c>
      <x:c r="C6" s="23" t="s">
        <x:v>11</x:v>
      </x:c>
      <x:c r="D6" s="23" t="s">
        <x:v>11</x:v>
      </x:c>
      <x:c r="E6" s="23" t="s">
        <x:v>11</x:v>
      </x:c>
      <x:c r="F6" s="23" t="s">
        <x:v>11</x:v>
      </x:c>
      <x:c r="G6" s="23" t="s">
        <x:v>11</x:v>
      </x:c>
      <x:c r="H6" s="23" t="s">
        <x:v>11</x:v>
      </x:c>
      <x:c r="I6" s="23" t="s">
        <x:v>11</x:v>
      </x:c>
      <x:c r="J6" s="37" t="s">
        <x:v>12</x:v>
      </x:c>
      <x:c r="K6" s="37" t="s">
        <x:v>12</x:v>
      </x:c>
      <x:c r="L6" s="38"/>
      <x:c r="M6" s="38"/>
      <x:c r="N6" s="13"/>
    </x:row>
    <x:row r="7" ht="15" customHeight="1">
      <x:c r="A7" s="11">
        <x:v>2</x:v>
      </x:c>
      <x:c r="B7" s="22" t="s">
        <x:v>13</x:v>
      </x:c>
      <x:c r="C7" s="13" t="s">
        <x:v>7</x:v>
      </x:c>
      <x:c r="D7" s="13" t="s">
        <x:v>7</x:v>
      </x:c>
      <x:c r="E7" s="13" t="s">
        <x:v>7</x:v>
      </x:c>
      <x:c r="F7" s="13" t="s">
        <x:v>7</x:v>
      </x:c>
      <x:c r="G7" s="13" t="s">
        <x:v>7</x:v>
      </x:c>
      <x:c r="H7" s="13" t="s">
        <x:v>7</x:v>
      </x:c>
      <x:c r="I7" s="13" t="s">
        <x:v>7</x:v>
      </x:c>
      <x:c r="J7" s="13" t="s">
        <x:v>7</x:v>
      </x:c>
      <x:c r="K7" s="38" t="str">
        <x:v>IZA</x:v>
      </x:c>
      <x:c r="L7" s="38" t="str">
        <x:v>LY</x:v>
      </x:c>
      <x:c r="M7" s="13"/>
      <x:c r="N7" s="13"/>
    </x:row>
    <x:row r="8" ht="15" customHeight="1">
      <x:c r="A8" s="11">
        <x:v>3</x:v>
      </x:c>
      <x:c r="B8" s="22" t="s">
        <x:v>14</x:v>
      </x:c>
      <x:c r="C8" s="23" t="s">
        <x:v>11</x:v>
      </x:c>
      <x:c r="D8" s="23" t="s">
        <x:v>11</x:v>
      </x:c>
      <x:c r="E8" s="23" t="s">
        <x:v>11</x:v>
      </x:c>
      <x:c r="F8" s="23" t="s">
        <x:v>11</x:v>
      </x:c>
      <x:c r="G8" s="23" t="s">
        <x:v>11</x:v>
      </x:c>
      <x:c r="H8" s="23" t="s">
        <x:v>11</x:v>
      </x:c>
      <x:c r="I8" s="23" t="s">
        <x:v>11</x:v>
      </x:c>
      <x:c r="J8" s="23" t="s">
        <x:v>11</x:v>
      </x:c>
      <x:c r="K8" s="38"/>
      <x:c r="L8" s="38"/>
      <x:c r="M8" s="13"/>
      <x:c r="N8" s="13"/>
    </x:row>
    <x:row r="9" ht="15" customHeight="1">
      <x:c r="A9" s="11">
        <x:v>4</x:v>
      </x:c>
      <x:c r="B9" s="22" t="s">
        <x:v>18</x:v>
      </x:c>
      <x:c r="C9" s="13" t="s">
        <x:v>15</x:v>
      </x:c>
      <x:c r="D9" s="13" t="s">
        <x:v>15</x:v>
      </x:c>
      <x:c r="E9" s="13" t="s">
        <x:v>15</x:v>
      </x:c>
      <x:c r="F9" s="13" t="s">
        <x:v>15</x:v>
      </x:c>
      <x:c r="G9" s="13" t="s">
        <x:v>15</x:v>
      </x:c>
      <x:c r="H9" s="13" t="s">
        <x:v>15</x:v>
      </x:c>
      <x:c r="I9" s="13" t="s">
        <x:v>15</x:v>
      </x:c>
      <x:c r="J9" s="13" t="s">
        <x:v>15</x:v>
      </x:c>
      <x:c r="K9" s="38" t="str">
        <x:v>LY</x:v>
      </x:c>
      <x:c r="L9" s="38" t="str">
        <x:v>YS</x:v>
      </x:c>
      <x:c r="M9" s="13"/>
      <x:c r="N9" s="13"/>
    </x:row>
    <x:row r="10" ht="15" customHeight="1">
      <x:c r="A10" s="11">
        <x:v>5</x:v>
      </x:c>
      <x:c r="B10" s="22" t="s">
        <x:v>21</x:v>
      </x:c>
      <x:c r="C10" s="13" t="s">
        <x:v>7</x:v>
      </x:c>
      <x:c r="D10" s="13" t="s">
        <x:v>7</x:v>
      </x:c>
      <x:c r="E10" s="13" t="s">
        <x:v>7</x:v>
      </x:c>
      <x:c r="F10" s="13" t="s">
        <x:v>7</x:v>
      </x:c>
      <x:c r="G10" s="13" t="s">
        <x:v>7</x:v>
      </x:c>
      <x:c r="H10" s="13" t="s">
        <x:v>7</x:v>
      </x:c>
      <x:c r="I10" s="13" t="s">
        <x:v>7</x:v>
      </x:c>
      <x:c r="J10" s="13" t="s">
        <x:v>7</x:v>
      </x:c>
      <x:c r="K10" s="38" t="str">
        <x:v>YS</x:v>
      </x:c>
      <x:c r="L10" s="38"/>
      <x:c r="M10" s="13"/>
      <x:c r="N10" s="13"/>
    </x:row>
    <x:row r="11" ht="15" customHeight="1">
      <x:c r="A11" s="11">
        <x:v>6</x:v>
      </x:c>
      <x:c r="B11" s="22" t="s">
        <x:v>23</x:v>
      </x:c>
      <x:c r="C11" s="13" t="s">
        <x:v>12</x:v>
      </x:c>
      <x:c r="D11" s="13" t="s">
        <x:v>12</x:v>
      </x:c>
      <x:c r="E11" s="13" t="s">
        <x:v>12</x:v>
      </x:c>
      <x:c r="F11" s="13" t="s">
        <x:v>12</x:v>
      </x:c>
      <x:c r="G11" s="23" t="s">
        <x:v>11</x:v>
      </x:c>
      <x:c r="H11" s="23" t="s">
        <x:v>11</x:v>
      </x:c>
      <x:c r="I11" s="13" t="s">
        <x:v>12</x:v>
      </x:c>
      <x:c r="J11" s="13" t="s">
        <x:v>12</x:v>
      </x:c>
      <x:c r="K11" s="38" t="str">
        <x:v>IZA</x:v>
      </x:c>
      <x:c r="L11" s="38"/>
      <x:c r="M11" s="13"/>
      <x:c r="N11" s="13"/>
    </x:row>
    <x:row r="12" ht="15" customHeight="1">
      <x:c r="A12" s="11">
        <x:v>7</x:v>
      </x:c>
      <x:c r="B12" s="22" t="s">
        <x:v>25</x:v>
      </x:c>
      <x:c r="C12" s="23" t="s">
        <x:v>11</x:v>
      </x:c>
      <x:c r="D12" s="23" t="s">
        <x:v>11</x:v>
      </x:c>
      <x:c r="E12" s="23" t="s">
        <x:v>11</x:v>
      </x:c>
      <x:c r="F12" s="13" t="s">
        <x:v>15</x:v>
      </x:c>
      <x:c r="G12" s="13" t="s">
        <x:v>15</x:v>
      </x:c>
      <x:c r="H12" s="13" t="s">
        <x:v>15</x:v>
      </x:c>
      <x:c r="I12" s="13" t="s">
        <x:v>15</x:v>
      </x:c>
      <x:c r="J12" s="13" t="s">
        <x:v>15</x:v>
      </x:c>
      <x:c r="K12" s="38"/>
      <x:c r="L12" s="38"/>
      <x:c r="M12" s="13"/>
      <x:c r="N12" s="13"/>
    </x:row>
    <x:row r="13" ht="15" customHeight="1">
      <x:c r="A13" s="11">
        <x:v>8</x:v>
      </x:c>
      <x:c r="B13" s="22" t="s">
        <x:v>39</x:v>
      </x:c>
      <x:c r="C13" s="13" t="s">
        <x:v>12</x:v>
      </x:c>
      <x:c r="D13" s="13" t="s">
        <x:v>12</x:v>
      </x:c>
      <x:c r="E13" s="13" t="s">
        <x:v>12</x:v>
      </x:c>
      <x:c r="F13" s="13" t="s">
        <x:v>12</x:v>
      </x:c>
      <x:c r="G13" s="13" t="s">
        <x:v>12</x:v>
      </x:c>
      <x:c r="H13" s="13" t="s">
        <x:v>12</x:v>
      </x:c>
      <x:c r="I13" s="13" t="s">
        <x:v>12</x:v>
      </x:c>
      <x:c r="J13" s="13" t="s">
        <x:v>12</x:v>
      </x:c>
      <x:c r="K13" s="38"/>
      <x:c r="L13" s="38"/>
      <x:c r="M13" s="13"/>
      <x:c r="N13" s="13"/>
    </x:row>
    <x:row r="14" ht="15" customHeight="1">
      <x:c r="A14" s="11">
        <x:v>9</x:v>
      </x:c>
      <x:c r="B14" s="22" t="s">
        <x:v>28</x:v>
      </x:c>
      <x:c r="C14" s="13" t="s">
        <x:v>12</x:v>
      </x:c>
      <x:c r="D14" s="13" t="s">
        <x:v>12</x:v>
      </x:c>
      <x:c r="E14" s="13" t="s">
        <x:v>12</x:v>
      </x:c>
      <x:c r="F14" s="13" t="s">
        <x:v>12</x:v>
      </x:c>
      <x:c r="G14" s="13" t="s">
        <x:v>12</x:v>
      </x:c>
      <x:c r="H14" s="13" t="s">
        <x:v>12</x:v>
      </x:c>
      <x:c r="I14" s="13" t="s">
        <x:v>12</x:v>
      </x:c>
      <x:c r="J14" s="13" t="s">
        <x:v>12</x:v>
      </x:c>
      <x:c r="K14" s="38"/>
      <x:c r="L14" s="38"/>
      <x:c r="M14" s="13"/>
      <x:c r="N14" s="13"/>
    </x:row>
    <x:row r="15">
      <x:c r="A15" s="17"/>
      <x:c r="B15" s="24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</x:row>
    <x:row r="16">
      <x:c r="A16" s="17"/>
      <x:c r="B16" s="24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</x:row>
    <x:row r="17">
      <x:c r="B17" s="18" t="s">
        <x:v>29</x:v>
      </x:c>
      <x:c r="C17" s="1" t="s">
        <x:v>15</x:v>
      </x:c>
      <x:c r="D17" s="1" t="n">
        <x:f>COUNTIF(C6:N14,"IZA")</x:f>
        <x:v>15</x:v>
      </x:c>
    </x:row>
    <x:row r="18">
      <x:c r="B18" s="18"/>
      <x:c r="C18" s="1" t="s">
        <x:v>7</x:v>
      </x:c>
      <x:c r="D18" s="1" t="n">
        <x:f>COUNTIF(C6:N14,"LY")</x:f>
        <x:v>18</x:v>
      </x:c>
    </x:row>
    <x:row r="19">
      <x:c r="C19" s="1" t="s">
        <x:v>12</x:v>
      </x:c>
      <x:c r="D19" s="1" t="n">
        <x:f>COUNTIF(C6:N14,"YS")</x:f>
        <x:v>26</x:v>
      </x:c>
    </x:row>
    <x:row r="20">
      <x:c r="B20" s="18"/>
      <x:c r="C20" s="1" t="s">
        <x:v>24</x:v>
      </x:c>
      <x:c r="D20" s="1" t="n">
        <x:f>COUNTIF(C6:N14,"YEOH")</x:f>
        <x:v>0</x:v>
      </x:c>
    </x:row>
    <x:row r="21">
      <x:c r="B21" s="20"/>
    </x:row>
    <x:row r="22">
      <x:c r="B22" s="1" t="s">
        <x:v>30</x:v>
      </x:c>
    </x:row>
    <x:row r="23">
      <x:c r="B23" s="18" t="s">
        <x:v>31</x:v>
      </x:c>
    </x:row>
  </x:sheetData>
  <x:mergeCells>
    <x:mergeCell ref="M4:M5"/>
    <x:mergeCell ref="N4:N5"/>
    <x:mergeCell ref="G4:G5"/>
    <x:mergeCell ref="H4:H5"/>
    <x:mergeCell ref="I4:I5"/>
    <x:mergeCell ref="J4:J5"/>
    <x:mergeCell ref="K4:K5"/>
    <x:mergeCell ref="L4:L5"/>
    <x:mergeCell ref="A4:A5"/>
    <x:mergeCell ref="B4:B5"/>
    <x:mergeCell ref="C4:C5"/>
    <x:mergeCell ref="D4:D5"/>
    <x:mergeCell ref="E4:E5"/>
    <x:mergeCell ref="F4:F5"/>
  </x:mergeCells>
  <x:pageMargins left="0.7" right="0.7" top="0.75" bottom="0.75" header="0.3" footer="0.3"/>
</x:worksheet>
</file>